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6f68f67d06e80bb/Documents/Case study/"/>
    </mc:Choice>
  </mc:AlternateContent>
  <xr:revisionPtr revIDLastSave="1489" documentId="8_{03FC49D8-E940-44B2-B5C4-5CBF43AA2857}" xr6:coauthVersionLast="47" xr6:coauthVersionMax="47" xr10:uidLastSave="{DCC15258-9566-4943-B66B-ECB1E80FBE26}"/>
  <bookViews>
    <workbookView xWindow="-98" yWindow="-98" windowWidth="19396" windowHeight="11475" xr2:uid="{B8E644B8-88D4-441F-BB7F-580496860F6D}"/>
  </bookViews>
  <sheets>
    <sheet name="Original data" sheetId="2" r:id="rId1"/>
    <sheet name="Data cleaning &amp;Processing steps" sheetId="5" r:id="rId2"/>
    <sheet name="Processed data" sheetId="4" r:id="rId3"/>
    <sheet name="Highest Contribution Catgeory" sheetId="1" r:id="rId4"/>
    <sheet name="Y-O-Y Inflation rate" sheetId="7" r:id="rId5"/>
    <sheet name="Food Inflation (a)" sheetId="13" r:id="rId6"/>
    <sheet name="Food Inflation (b)" sheetId="14" r:id="rId7"/>
    <sheet name="Covid Impact Urban" sheetId="18" r:id="rId8"/>
    <sheet name="Covid impact Rural" sheetId="16" r:id="rId9"/>
    <sheet name="Covid impact- Rural+Urban" sheetId="19" r:id="rId10"/>
    <sheet name="Crude oil prices data" sheetId="20" r:id="rId11"/>
    <sheet name="Oil price impact on inflation" sheetId="21" r:id="rId12"/>
  </sheets>
  <definedNames>
    <definedName name="_xlnm._FilterDatabase" localSheetId="3" hidden="1">'Highest Contribution Catgeory'!$A$1:$AO$373</definedName>
    <definedName name="_xlnm._FilterDatabase" localSheetId="0" hidden="1">'Original data'!$A$1:$AD$373</definedName>
    <definedName name="_xlnm._FilterDatabase" localSheetId="2" hidden="1">'Processed data'!$A$1:$AO$373</definedName>
  </definedNames>
  <calcPr calcId="191029"/>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8" i="4" l="1"/>
  <c r="J377" i="4"/>
  <c r="AH378" i="4"/>
  <c r="AG378" i="4"/>
  <c r="I4" i="7"/>
  <c r="AE376" i="1"/>
  <c r="B42" i="21"/>
  <c r="B41" i="21"/>
  <c r="B40" i="21"/>
  <c r="B39" i="21"/>
  <c r="B38" i="21"/>
  <c r="B37" i="21"/>
  <c r="B36" i="21"/>
  <c r="B35" i="21"/>
  <c r="B34" i="21"/>
  <c r="B33" i="21"/>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7" i="4"/>
  <c r="AH75" i="4"/>
  <c r="AH76" i="4"/>
  <c r="AH74" i="4"/>
  <c r="AH78" i="4"/>
  <c r="AH79" i="4"/>
  <c r="AH80" i="4"/>
  <c r="AH81" i="4"/>
  <c r="AH82" i="4"/>
  <c r="AH104" i="4"/>
  <c r="AH84" i="4"/>
  <c r="AH85" i="4"/>
  <c r="AH101" i="4"/>
  <c r="AH87" i="4"/>
  <c r="AH88" i="4"/>
  <c r="AH92" i="4"/>
  <c r="AH90" i="4"/>
  <c r="AH91" i="4"/>
  <c r="AH98" i="4"/>
  <c r="AH93" i="4"/>
  <c r="AH94" i="4"/>
  <c r="AH107" i="4"/>
  <c r="AH96" i="4"/>
  <c r="AH97" i="4"/>
  <c r="AH89" i="4"/>
  <c r="AH99" i="4"/>
  <c r="AH100" i="4"/>
  <c r="AH95" i="4"/>
  <c r="AH102" i="4"/>
  <c r="AH103" i="4"/>
  <c r="AH86" i="4"/>
  <c r="AH105" i="4"/>
  <c r="AH106" i="4"/>
  <c r="AH83"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2" i="4"/>
  <c r="C16" i="14"/>
  <c r="C17" i="14"/>
  <c r="C18" i="14"/>
  <c r="C19" i="14"/>
  <c r="C20" i="14"/>
  <c r="C21" i="14"/>
  <c r="C22" i="14"/>
  <c r="C23" i="14"/>
  <c r="C24" i="14"/>
  <c r="C25" i="14"/>
  <c r="C26" i="14"/>
  <c r="C27" i="14"/>
  <c r="G4" i="13"/>
  <c r="G5" i="13"/>
  <c r="G6" i="13"/>
  <c r="G7" i="13"/>
  <c r="G8" i="13"/>
  <c r="G9" i="13"/>
  <c r="G10" i="13"/>
  <c r="G11" i="13"/>
  <c r="G12" i="13"/>
  <c r="G13" i="13"/>
  <c r="G14" i="13"/>
  <c r="G3" i="13"/>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7" i="1"/>
  <c r="AH296" i="1"/>
  <c r="AH295" i="1"/>
  <c r="AH294" i="1"/>
  <c r="AH293" i="1"/>
  <c r="AH292" i="1"/>
  <c r="AH291" i="1"/>
  <c r="AH290" i="1"/>
  <c r="AH289" i="1"/>
  <c r="AH288" i="1"/>
  <c r="AH287" i="1"/>
  <c r="AH286" i="1"/>
  <c r="AH285" i="1"/>
  <c r="AH284" i="1"/>
  <c r="AH283" i="1"/>
  <c r="AH282" i="1"/>
  <c r="AH281" i="1"/>
  <c r="AH280" i="1"/>
  <c r="AH279" i="1"/>
  <c r="AH278" i="1"/>
  <c r="AH277" i="1"/>
  <c r="AH276" i="1"/>
  <c r="AH275" i="1"/>
  <c r="AH274" i="1"/>
  <c r="AH273" i="1"/>
  <c r="AH272" i="1"/>
  <c r="AH271" i="1"/>
  <c r="AH270" i="1"/>
  <c r="AH269" i="1"/>
  <c r="AH268" i="1"/>
  <c r="AH267" i="1"/>
  <c r="AH266" i="1"/>
  <c r="AH262" i="1"/>
  <c r="AH261" i="1"/>
  <c r="AH260" i="1"/>
  <c r="AH259" i="1"/>
  <c r="AH258" i="1"/>
  <c r="AH257" i="1"/>
  <c r="AH256" i="1"/>
  <c r="AH255" i="1"/>
  <c r="AH254" i="1"/>
  <c r="AH253" i="1"/>
  <c r="AH252" i="1"/>
  <c r="AH251" i="1"/>
  <c r="AH250" i="1"/>
  <c r="AH249" i="1"/>
  <c r="AH248" i="1"/>
  <c r="AH247" i="1"/>
  <c r="AH246" i="1"/>
  <c r="AH245" i="1"/>
  <c r="AH244" i="1"/>
  <c r="AH243" i="1"/>
  <c r="AH242" i="1"/>
  <c r="AH241" i="1"/>
  <c r="AH240" i="1"/>
  <c r="AH239" i="1"/>
  <c r="AH238" i="1"/>
  <c r="AH237" i="1"/>
  <c r="AH236" i="1"/>
  <c r="AH235" i="1"/>
  <c r="AH234" i="1"/>
  <c r="AH233" i="1"/>
  <c r="AH232" i="1"/>
  <c r="AH231" i="1"/>
  <c r="AH230" i="1"/>
  <c r="AH229" i="1"/>
  <c r="AH228" i="1"/>
  <c r="AH227" i="1"/>
  <c r="AH226" i="1"/>
  <c r="AH225"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 r="I5" i="7"/>
  <c r="I6" i="7"/>
  <c r="I7" i="7"/>
  <c r="I8" i="7"/>
  <c r="I9" i="7"/>
  <c r="I10" i="7"/>
  <c r="AN373" i="4"/>
  <c r="AM373" i="4"/>
  <c r="AL373" i="4"/>
  <c r="AK373" i="4"/>
  <c r="AJ373" i="4"/>
  <c r="AI373" i="4"/>
  <c r="AG373" i="4"/>
  <c r="AF373" i="4"/>
  <c r="AE373" i="4"/>
  <c r="AN372" i="4"/>
  <c r="AM372" i="4"/>
  <c r="AL372" i="4"/>
  <c r="AK372" i="4"/>
  <c r="AJ372" i="4"/>
  <c r="AI372" i="4"/>
  <c r="AG372" i="4"/>
  <c r="AF372" i="4"/>
  <c r="AE372" i="4"/>
  <c r="AN371" i="4"/>
  <c r="AM371" i="4"/>
  <c r="AL371" i="4"/>
  <c r="AK371" i="4"/>
  <c r="AJ371" i="4"/>
  <c r="AI371" i="4"/>
  <c r="AG371" i="4"/>
  <c r="AF371" i="4"/>
  <c r="AE371" i="4"/>
  <c r="AN370" i="4"/>
  <c r="AM370" i="4"/>
  <c r="AL370" i="4"/>
  <c r="AK370" i="4"/>
  <c r="AJ370" i="4"/>
  <c r="AI370" i="4"/>
  <c r="AG370" i="4"/>
  <c r="AF370" i="4"/>
  <c r="AE370" i="4"/>
  <c r="AN369" i="4"/>
  <c r="AM369" i="4"/>
  <c r="AL369" i="4"/>
  <c r="AK369" i="4"/>
  <c r="AJ369" i="4"/>
  <c r="AI369" i="4"/>
  <c r="AG369" i="4"/>
  <c r="AF369" i="4"/>
  <c r="AE369" i="4"/>
  <c r="AN368" i="4"/>
  <c r="AM368" i="4"/>
  <c r="AL368" i="4"/>
  <c r="AK368" i="4"/>
  <c r="AJ368" i="4"/>
  <c r="AI368" i="4"/>
  <c r="AG368" i="4"/>
  <c r="AF368" i="4"/>
  <c r="AE368" i="4"/>
  <c r="AN367" i="4"/>
  <c r="AM367" i="4"/>
  <c r="AL367" i="4"/>
  <c r="AK367" i="4"/>
  <c r="AJ367" i="4"/>
  <c r="AI367" i="4"/>
  <c r="AG367" i="4"/>
  <c r="AF367" i="4"/>
  <c r="AE367" i="4"/>
  <c r="AN366" i="4"/>
  <c r="AM366" i="4"/>
  <c r="AL366" i="4"/>
  <c r="AK366" i="4"/>
  <c r="AJ366" i="4"/>
  <c r="AI366" i="4"/>
  <c r="AG366" i="4"/>
  <c r="AF366" i="4"/>
  <c r="AE366" i="4"/>
  <c r="AN365" i="4"/>
  <c r="AM365" i="4"/>
  <c r="AL365" i="4"/>
  <c r="AK365" i="4"/>
  <c r="AJ365" i="4"/>
  <c r="AI365" i="4"/>
  <c r="AG365" i="4"/>
  <c r="AF365" i="4"/>
  <c r="AE365" i="4"/>
  <c r="AN364" i="4"/>
  <c r="AM364" i="4"/>
  <c r="AL364" i="4"/>
  <c r="AK364" i="4"/>
  <c r="AJ364" i="4"/>
  <c r="AI364" i="4"/>
  <c r="AG364" i="4"/>
  <c r="AF364" i="4"/>
  <c r="AE364" i="4"/>
  <c r="AN363" i="4"/>
  <c r="AM363" i="4"/>
  <c r="AL363" i="4"/>
  <c r="AK363" i="4"/>
  <c r="AJ363" i="4"/>
  <c r="AI363" i="4"/>
  <c r="AG363" i="4"/>
  <c r="AF363" i="4"/>
  <c r="AE363" i="4"/>
  <c r="AN362" i="4"/>
  <c r="AM362" i="4"/>
  <c r="AL362" i="4"/>
  <c r="AK362" i="4"/>
  <c r="AJ362" i="4"/>
  <c r="AI362" i="4"/>
  <c r="AG362" i="4"/>
  <c r="AF362" i="4"/>
  <c r="AE362" i="4"/>
  <c r="AN361" i="4"/>
  <c r="AM361" i="4"/>
  <c r="AL361" i="4"/>
  <c r="AK361" i="4"/>
  <c r="AJ361" i="4"/>
  <c r="AI361" i="4"/>
  <c r="AG361" i="4"/>
  <c r="AF361" i="4"/>
  <c r="AE361" i="4"/>
  <c r="AN360" i="4"/>
  <c r="AM360" i="4"/>
  <c r="AL360" i="4"/>
  <c r="AK360" i="4"/>
  <c r="AJ360" i="4"/>
  <c r="AI360" i="4"/>
  <c r="AG360" i="4"/>
  <c r="AF360" i="4"/>
  <c r="AE360" i="4"/>
  <c r="AN359" i="4"/>
  <c r="AM359" i="4"/>
  <c r="AL359" i="4"/>
  <c r="AK359" i="4"/>
  <c r="AJ359" i="4"/>
  <c r="AI359" i="4"/>
  <c r="AG359" i="4"/>
  <c r="AF359" i="4"/>
  <c r="AE359" i="4"/>
  <c r="AN358" i="4"/>
  <c r="AM358" i="4"/>
  <c r="AL358" i="4"/>
  <c r="AK358" i="4"/>
  <c r="AJ358" i="4"/>
  <c r="AI358" i="4"/>
  <c r="AG358" i="4"/>
  <c r="AF358" i="4"/>
  <c r="AE358" i="4"/>
  <c r="AN357" i="4"/>
  <c r="AM357" i="4"/>
  <c r="AL357" i="4"/>
  <c r="AK357" i="4"/>
  <c r="AJ357" i="4"/>
  <c r="AI357" i="4"/>
  <c r="AG357" i="4"/>
  <c r="AF357" i="4"/>
  <c r="AE357" i="4"/>
  <c r="AN356" i="4"/>
  <c r="AM356" i="4"/>
  <c r="AL356" i="4"/>
  <c r="AK356" i="4"/>
  <c r="AJ356" i="4"/>
  <c r="AI356" i="4"/>
  <c r="AG356" i="4"/>
  <c r="AF356" i="4"/>
  <c r="AE356" i="4"/>
  <c r="AN355" i="4"/>
  <c r="AM355" i="4"/>
  <c r="AL355" i="4"/>
  <c r="AK355" i="4"/>
  <c r="AJ355" i="4"/>
  <c r="AI355" i="4"/>
  <c r="AG355" i="4"/>
  <c r="AF355" i="4"/>
  <c r="AE355" i="4"/>
  <c r="AN354" i="4"/>
  <c r="AM354" i="4"/>
  <c r="AL354" i="4"/>
  <c r="AK354" i="4"/>
  <c r="AJ354" i="4"/>
  <c r="AI354" i="4"/>
  <c r="AG354" i="4"/>
  <c r="AF354" i="4"/>
  <c r="AE354" i="4"/>
  <c r="AN353" i="4"/>
  <c r="AM353" i="4"/>
  <c r="AL353" i="4"/>
  <c r="AK353" i="4"/>
  <c r="AJ353" i="4"/>
  <c r="AI353" i="4"/>
  <c r="AG353" i="4"/>
  <c r="AF353" i="4"/>
  <c r="AE353" i="4"/>
  <c r="AN352" i="4"/>
  <c r="AM352" i="4"/>
  <c r="AL352" i="4"/>
  <c r="AK352" i="4"/>
  <c r="AJ352" i="4"/>
  <c r="AI352" i="4"/>
  <c r="AG352" i="4"/>
  <c r="AF352" i="4"/>
  <c r="AE352" i="4"/>
  <c r="AN351" i="4"/>
  <c r="AM351" i="4"/>
  <c r="AL351" i="4"/>
  <c r="AK351" i="4"/>
  <c r="AJ351" i="4"/>
  <c r="AI351" i="4"/>
  <c r="AG351" i="4"/>
  <c r="AF351" i="4"/>
  <c r="AE351" i="4"/>
  <c r="AN350" i="4"/>
  <c r="AM350" i="4"/>
  <c r="AL350" i="4"/>
  <c r="AK350" i="4"/>
  <c r="AJ350" i="4"/>
  <c r="AI350" i="4"/>
  <c r="AG350" i="4"/>
  <c r="AF350" i="4"/>
  <c r="AE350" i="4"/>
  <c r="AN349" i="4"/>
  <c r="AM349" i="4"/>
  <c r="AL349" i="4"/>
  <c r="AK349" i="4"/>
  <c r="AJ349" i="4"/>
  <c r="AI349" i="4"/>
  <c r="AG349" i="4"/>
  <c r="AF349" i="4"/>
  <c r="AE349" i="4"/>
  <c r="AN348" i="4"/>
  <c r="AM348" i="4"/>
  <c r="AL348" i="4"/>
  <c r="AK348" i="4"/>
  <c r="AJ348" i="4"/>
  <c r="AI348" i="4"/>
  <c r="AG348" i="4"/>
  <c r="AF348" i="4"/>
  <c r="AE348" i="4"/>
  <c r="AN347" i="4"/>
  <c r="AM347" i="4"/>
  <c r="AL347" i="4"/>
  <c r="AK347" i="4"/>
  <c r="AJ347" i="4"/>
  <c r="AI347" i="4"/>
  <c r="AG347" i="4"/>
  <c r="AF347" i="4"/>
  <c r="AE347" i="4"/>
  <c r="AN346" i="4"/>
  <c r="AM346" i="4"/>
  <c r="AL346" i="4"/>
  <c r="AK346" i="4"/>
  <c r="AJ346" i="4"/>
  <c r="AI346" i="4"/>
  <c r="AG346" i="4"/>
  <c r="AF346" i="4"/>
  <c r="AE346" i="4"/>
  <c r="AN345" i="4"/>
  <c r="AM345" i="4"/>
  <c r="AL345" i="4"/>
  <c r="AK345" i="4"/>
  <c r="AJ345" i="4"/>
  <c r="AI345" i="4"/>
  <c r="AG345" i="4"/>
  <c r="AF345" i="4"/>
  <c r="AE345" i="4"/>
  <c r="AN344" i="4"/>
  <c r="AM344" i="4"/>
  <c r="AL344" i="4"/>
  <c r="AK344" i="4"/>
  <c r="AJ344" i="4"/>
  <c r="AI344" i="4"/>
  <c r="AG344" i="4"/>
  <c r="AF344" i="4"/>
  <c r="AE344" i="4"/>
  <c r="AN343" i="4"/>
  <c r="AM343" i="4"/>
  <c r="AL343" i="4"/>
  <c r="AK343" i="4"/>
  <c r="AJ343" i="4"/>
  <c r="AI343" i="4"/>
  <c r="AG343" i="4"/>
  <c r="AF343" i="4"/>
  <c r="AE343" i="4"/>
  <c r="AN342" i="4"/>
  <c r="AM342" i="4"/>
  <c r="AL342" i="4"/>
  <c r="AK342" i="4"/>
  <c r="AJ342" i="4"/>
  <c r="AI342" i="4"/>
  <c r="AG342" i="4"/>
  <c r="AF342" i="4"/>
  <c r="AE342" i="4"/>
  <c r="AN341" i="4"/>
  <c r="AM341" i="4"/>
  <c r="AL341" i="4"/>
  <c r="AK341" i="4"/>
  <c r="AJ341" i="4"/>
  <c r="AI341" i="4"/>
  <c r="AG341" i="4"/>
  <c r="AF341" i="4"/>
  <c r="AE341" i="4"/>
  <c r="AN340" i="4"/>
  <c r="AM340" i="4"/>
  <c r="AL340" i="4"/>
  <c r="AK340" i="4"/>
  <c r="AJ340" i="4"/>
  <c r="AI340" i="4"/>
  <c r="AG340" i="4"/>
  <c r="AF340" i="4"/>
  <c r="AE340" i="4"/>
  <c r="AN339" i="4"/>
  <c r="AM339" i="4"/>
  <c r="AL339" i="4"/>
  <c r="AK339" i="4"/>
  <c r="AJ339" i="4"/>
  <c r="AI339" i="4"/>
  <c r="AG339" i="4"/>
  <c r="AF339" i="4"/>
  <c r="AE339" i="4"/>
  <c r="AN338" i="4"/>
  <c r="AM338" i="4"/>
  <c r="AL338" i="4"/>
  <c r="AK338" i="4"/>
  <c r="AJ338" i="4"/>
  <c r="AI338" i="4"/>
  <c r="AG338" i="4"/>
  <c r="AF338" i="4"/>
  <c r="AE338" i="4"/>
  <c r="AN337" i="4"/>
  <c r="AM337" i="4"/>
  <c r="AL337" i="4"/>
  <c r="AK337" i="4"/>
  <c r="AJ337" i="4"/>
  <c r="AI337" i="4"/>
  <c r="AG337" i="4"/>
  <c r="AF337" i="4"/>
  <c r="AE337" i="4"/>
  <c r="AN336" i="4"/>
  <c r="AM336" i="4"/>
  <c r="AL336" i="4"/>
  <c r="AK336" i="4"/>
  <c r="AJ336" i="4"/>
  <c r="AI336" i="4"/>
  <c r="AG336" i="4"/>
  <c r="AF336" i="4"/>
  <c r="AE336" i="4"/>
  <c r="AN335" i="4"/>
  <c r="AM335" i="4"/>
  <c r="AL335" i="4"/>
  <c r="AK335" i="4"/>
  <c r="AJ335" i="4"/>
  <c r="AI335" i="4"/>
  <c r="AG335" i="4"/>
  <c r="AF335" i="4"/>
  <c r="AE335" i="4"/>
  <c r="AN334" i="4"/>
  <c r="AM334" i="4"/>
  <c r="AL334" i="4"/>
  <c r="AK334" i="4"/>
  <c r="AJ334" i="4"/>
  <c r="AI334" i="4"/>
  <c r="AG334" i="4"/>
  <c r="AF334" i="4"/>
  <c r="AE334" i="4"/>
  <c r="AN333" i="4"/>
  <c r="AM333" i="4"/>
  <c r="AL333" i="4"/>
  <c r="AK333" i="4"/>
  <c r="AJ333" i="4"/>
  <c r="AI333" i="4"/>
  <c r="AG333" i="4"/>
  <c r="AF333" i="4"/>
  <c r="AE333" i="4"/>
  <c r="AN332" i="4"/>
  <c r="AM332" i="4"/>
  <c r="AL332" i="4"/>
  <c r="AK332" i="4"/>
  <c r="AJ332" i="4"/>
  <c r="AI332" i="4"/>
  <c r="AG332" i="4"/>
  <c r="AF332" i="4"/>
  <c r="AE332" i="4"/>
  <c r="AN331" i="4"/>
  <c r="AM331" i="4"/>
  <c r="AL331" i="4"/>
  <c r="AK331" i="4"/>
  <c r="AJ331" i="4"/>
  <c r="AI331" i="4"/>
  <c r="AG331" i="4"/>
  <c r="AF331" i="4"/>
  <c r="AE331" i="4"/>
  <c r="AN330" i="4"/>
  <c r="AM330" i="4"/>
  <c r="AL330" i="4"/>
  <c r="AK330" i="4"/>
  <c r="AJ330" i="4"/>
  <c r="AI330" i="4"/>
  <c r="AG330" i="4"/>
  <c r="AF330" i="4"/>
  <c r="AE330" i="4"/>
  <c r="AN329" i="4"/>
  <c r="AM329" i="4"/>
  <c r="AL329" i="4"/>
  <c r="AK329" i="4"/>
  <c r="AJ329" i="4"/>
  <c r="AI329" i="4"/>
  <c r="AG329" i="4"/>
  <c r="AF329" i="4"/>
  <c r="AE329" i="4"/>
  <c r="AN328" i="4"/>
  <c r="AM328" i="4"/>
  <c r="AL328" i="4"/>
  <c r="AK328" i="4"/>
  <c r="AJ328" i="4"/>
  <c r="AI328" i="4"/>
  <c r="AG328" i="4"/>
  <c r="AF328" i="4"/>
  <c r="AE328" i="4"/>
  <c r="AN327" i="4"/>
  <c r="AM327" i="4"/>
  <c r="AL327" i="4"/>
  <c r="AK327" i="4"/>
  <c r="AJ327" i="4"/>
  <c r="AI327" i="4"/>
  <c r="AG327" i="4"/>
  <c r="AF327" i="4"/>
  <c r="AE327" i="4"/>
  <c r="AN326" i="4"/>
  <c r="AM326" i="4"/>
  <c r="AL326" i="4"/>
  <c r="AK326" i="4"/>
  <c r="AJ326" i="4"/>
  <c r="AI326" i="4"/>
  <c r="AG326" i="4"/>
  <c r="AF326" i="4"/>
  <c r="AE326" i="4"/>
  <c r="AN325" i="4"/>
  <c r="AM325" i="4"/>
  <c r="AL325" i="4"/>
  <c r="AK325" i="4"/>
  <c r="AJ325" i="4"/>
  <c r="AI325" i="4"/>
  <c r="AG325" i="4"/>
  <c r="AF325" i="4"/>
  <c r="AE325" i="4"/>
  <c r="AN324" i="4"/>
  <c r="AM324" i="4"/>
  <c r="AL324" i="4"/>
  <c r="AK324" i="4"/>
  <c r="AJ324" i="4"/>
  <c r="AI324" i="4"/>
  <c r="AG324" i="4"/>
  <c r="AF324" i="4"/>
  <c r="AE324" i="4"/>
  <c r="AN323" i="4"/>
  <c r="AM323" i="4"/>
  <c r="AL323" i="4"/>
  <c r="AK323" i="4"/>
  <c r="AJ323" i="4"/>
  <c r="AI323" i="4"/>
  <c r="AG323" i="4"/>
  <c r="AF323" i="4"/>
  <c r="AE323" i="4"/>
  <c r="AN322" i="4"/>
  <c r="AM322" i="4"/>
  <c r="AL322" i="4"/>
  <c r="AK322" i="4"/>
  <c r="AJ322" i="4"/>
  <c r="AI322" i="4"/>
  <c r="AG322" i="4"/>
  <c r="AF322" i="4"/>
  <c r="AE322" i="4"/>
  <c r="AN321" i="4"/>
  <c r="AM321" i="4"/>
  <c r="AL321" i="4"/>
  <c r="AK321" i="4"/>
  <c r="AJ321" i="4"/>
  <c r="AI321" i="4"/>
  <c r="AG321" i="4"/>
  <c r="AF321" i="4"/>
  <c r="AE321" i="4"/>
  <c r="AN320" i="4"/>
  <c r="AM320" i="4"/>
  <c r="AL320" i="4"/>
  <c r="AK320" i="4"/>
  <c r="AJ320" i="4"/>
  <c r="AI320" i="4"/>
  <c r="AG320" i="4"/>
  <c r="AF320" i="4"/>
  <c r="AE320" i="4"/>
  <c r="AN319" i="4"/>
  <c r="AM319" i="4"/>
  <c r="AL319" i="4"/>
  <c r="AK319" i="4"/>
  <c r="AJ319" i="4"/>
  <c r="AI319" i="4"/>
  <c r="AG319" i="4"/>
  <c r="AF319" i="4"/>
  <c r="AE319" i="4"/>
  <c r="AN318" i="4"/>
  <c r="AM318" i="4"/>
  <c r="AL318" i="4"/>
  <c r="AK318" i="4"/>
  <c r="AJ318" i="4"/>
  <c r="AI318" i="4"/>
  <c r="AG318" i="4"/>
  <c r="AF318" i="4"/>
  <c r="AE318" i="4"/>
  <c r="AN317" i="4"/>
  <c r="AM317" i="4"/>
  <c r="AL317" i="4"/>
  <c r="AK317" i="4"/>
  <c r="AJ317" i="4"/>
  <c r="AI317" i="4"/>
  <c r="AG317" i="4"/>
  <c r="AF317" i="4"/>
  <c r="AE317" i="4"/>
  <c r="AN316" i="4"/>
  <c r="AM316" i="4"/>
  <c r="AL316" i="4"/>
  <c r="AK316" i="4"/>
  <c r="AJ316" i="4"/>
  <c r="AI316" i="4"/>
  <c r="AG316" i="4"/>
  <c r="AF316" i="4"/>
  <c r="AE316" i="4"/>
  <c r="AN315" i="4"/>
  <c r="AM315" i="4"/>
  <c r="AL315" i="4"/>
  <c r="AK315" i="4"/>
  <c r="AJ315" i="4"/>
  <c r="AI315" i="4"/>
  <c r="AG315" i="4"/>
  <c r="AF315" i="4"/>
  <c r="AE315" i="4"/>
  <c r="AN314" i="4"/>
  <c r="AM314" i="4"/>
  <c r="AL314" i="4"/>
  <c r="AK314" i="4"/>
  <c r="AJ314" i="4"/>
  <c r="AI314" i="4"/>
  <c r="AG314" i="4"/>
  <c r="AF314" i="4"/>
  <c r="AE314" i="4"/>
  <c r="AN313" i="4"/>
  <c r="AM313" i="4"/>
  <c r="AL313" i="4"/>
  <c r="AK313" i="4"/>
  <c r="AJ313" i="4"/>
  <c r="AI313" i="4"/>
  <c r="AG313" i="4"/>
  <c r="AF313" i="4"/>
  <c r="AE313" i="4"/>
  <c r="AN312" i="4"/>
  <c r="AM312" i="4"/>
  <c r="AL312" i="4"/>
  <c r="AK312" i="4"/>
  <c r="AJ312" i="4"/>
  <c r="AI312" i="4"/>
  <c r="AG312" i="4"/>
  <c r="AF312" i="4"/>
  <c r="AE312" i="4"/>
  <c r="AN311" i="4"/>
  <c r="AM311" i="4"/>
  <c r="AL311" i="4"/>
  <c r="AK311" i="4"/>
  <c r="AJ311" i="4"/>
  <c r="AI311" i="4"/>
  <c r="AG311" i="4"/>
  <c r="AF311" i="4"/>
  <c r="AE311" i="4"/>
  <c r="AN310" i="4"/>
  <c r="AM310" i="4"/>
  <c r="AL310" i="4"/>
  <c r="AK310" i="4"/>
  <c r="AJ310" i="4"/>
  <c r="AI310" i="4"/>
  <c r="AG310" i="4"/>
  <c r="AF310" i="4"/>
  <c r="AE310" i="4"/>
  <c r="AN309" i="4"/>
  <c r="AM309" i="4"/>
  <c r="AL309" i="4"/>
  <c r="AK309" i="4"/>
  <c r="AJ309" i="4"/>
  <c r="AI309" i="4"/>
  <c r="AG309" i="4"/>
  <c r="AF309" i="4"/>
  <c r="AE309" i="4"/>
  <c r="AN308" i="4"/>
  <c r="AM308" i="4"/>
  <c r="AL308" i="4"/>
  <c r="AK308" i="4"/>
  <c r="AJ308" i="4"/>
  <c r="AI308" i="4"/>
  <c r="AG308" i="4"/>
  <c r="AF308" i="4"/>
  <c r="AE308" i="4"/>
  <c r="AN307" i="4"/>
  <c r="AM307" i="4"/>
  <c r="AL307" i="4"/>
  <c r="AK307" i="4"/>
  <c r="AJ307" i="4"/>
  <c r="AI307" i="4"/>
  <c r="AG307" i="4"/>
  <c r="AF307" i="4"/>
  <c r="AE307" i="4"/>
  <c r="AN306" i="4"/>
  <c r="AM306" i="4"/>
  <c r="AL306" i="4"/>
  <c r="AK306" i="4"/>
  <c r="AJ306" i="4"/>
  <c r="AI306" i="4"/>
  <c r="AG306" i="4"/>
  <c r="AF306" i="4"/>
  <c r="AE306" i="4"/>
  <c r="AN305" i="4"/>
  <c r="AM305" i="4"/>
  <c r="AL305" i="4"/>
  <c r="AK305" i="4"/>
  <c r="AJ305" i="4"/>
  <c r="AI305" i="4"/>
  <c r="AG305" i="4"/>
  <c r="AF305" i="4"/>
  <c r="AE305" i="4"/>
  <c r="AN304" i="4"/>
  <c r="AM304" i="4"/>
  <c r="AL304" i="4"/>
  <c r="AK304" i="4"/>
  <c r="AJ304" i="4"/>
  <c r="AI304" i="4"/>
  <c r="AG304" i="4"/>
  <c r="AF304" i="4"/>
  <c r="AE304" i="4"/>
  <c r="AN303" i="4"/>
  <c r="AM303" i="4"/>
  <c r="AL303" i="4"/>
  <c r="AK303" i="4"/>
  <c r="AJ303" i="4"/>
  <c r="AI303" i="4"/>
  <c r="AG303" i="4"/>
  <c r="AF303" i="4"/>
  <c r="AE303" i="4"/>
  <c r="AN302" i="4"/>
  <c r="AM302" i="4"/>
  <c r="AL302" i="4"/>
  <c r="AK302" i="4"/>
  <c r="AJ302" i="4"/>
  <c r="AI302" i="4"/>
  <c r="AG302" i="4"/>
  <c r="AF302" i="4"/>
  <c r="AE302" i="4"/>
  <c r="AN301" i="4"/>
  <c r="AM301" i="4"/>
  <c r="AL301" i="4"/>
  <c r="AK301" i="4"/>
  <c r="AJ301" i="4"/>
  <c r="AI301" i="4"/>
  <c r="AG301" i="4"/>
  <c r="AF301" i="4"/>
  <c r="AE301" i="4"/>
  <c r="AN300" i="4"/>
  <c r="AM300" i="4"/>
  <c r="AL300" i="4"/>
  <c r="AK300" i="4"/>
  <c r="AJ300" i="4"/>
  <c r="AI300" i="4"/>
  <c r="AG300" i="4"/>
  <c r="AF300" i="4"/>
  <c r="AE300" i="4"/>
  <c r="AN299" i="4"/>
  <c r="AM299" i="4"/>
  <c r="AL299" i="4"/>
  <c r="AK299" i="4"/>
  <c r="AJ299" i="4"/>
  <c r="AI299" i="4"/>
  <c r="AG299" i="4"/>
  <c r="AF299" i="4"/>
  <c r="AE299" i="4"/>
  <c r="AN298" i="4"/>
  <c r="AM298" i="4"/>
  <c r="AL298" i="4"/>
  <c r="AK298" i="4"/>
  <c r="AJ298" i="4"/>
  <c r="AI298" i="4"/>
  <c r="AG298" i="4"/>
  <c r="AF298" i="4"/>
  <c r="AE298" i="4"/>
  <c r="AN297" i="4"/>
  <c r="AM297" i="4"/>
  <c r="AL297" i="4"/>
  <c r="AK297" i="4"/>
  <c r="AJ297" i="4"/>
  <c r="AI297" i="4"/>
  <c r="AG297" i="4"/>
  <c r="AF297" i="4"/>
  <c r="AE297" i="4"/>
  <c r="AN296" i="4"/>
  <c r="AM296" i="4"/>
  <c r="AL296" i="4"/>
  <c r="AK296" i="4"/>
  <c r="AJ296" i="4"/>
  <c r="AI296" i="4"/>
  <c r="AG296" i="4"/>
  <c r="AF296" i="4"/>
  <c r="AE296" i="4"/>
  <c r="AN295" i="4"/>
  <c r="AM295" i="4"/>
  <c r="AL295" i="4"/>
  <c r="AK295" i="4"/>
  <c r="AJ295" i="4"/>
  <c r="AI295" i="4"/>
  <c r="AG295" i="4"/>
  <c r="AF295" i="4"/>
  <c r="AE295" i="4"/>
  <c r="AN294" i="4"/>
  <c r="AM294" i="4"/>
  <c r="AL294" i="4"/>
  <c r="AK294" i="4"/>
  <c r="AJ294" i="4"/>
  <c r="AI294" i="4"/>
  <c r="AG294" i="4"/>
  <c r="AF294" i="4"/>
  <c r="AE294" i="4"/>
  <c r="AN293" i="4"/>
  <c r="AM293" i="4"/>
  <c r="AL293" i="4"/>
  <c r="AK293" i="4"/>
  <c r="AJ293" i="4"/>
  <c r="AI293" i="4"/>
  <c r="AG293" i="4"/>
  <c r="AF293" i="4"/>
  <c r="AE293" i="4"/>
  <c r="AN292" i="4"/>
  <c r="AM292" i="4"/>
  <c r="AL292" i="4"/>
  <c r="AK292" i="4"/>
  <c r="AJ292" i="4"/>
  <c r="AI292" i="4"/>
  <c r="AG292" i="4"/>
  <c r="AF292" i="4"/>
  <c r="AE292" i="4"/>
  <c r="AN291" i="4"/>
  <c r="AM291" i="4"/>
  <c r="AL291" i="4"/>
  <c r="AK291" i="4"/>
  <c r="AJ291" i="4"/>
  <c r="AI291" i="4"/>
  <c r="AG291" i="4"/>
  <c r="AF291" i="4"/>
  <c r="AE291" i="4"/>
  <c r="AN290" i="4"/>
  <c r="AM290" i="4"/>
  <c r="AL290" i="4"/>
  <c r="AK290" i="4"/>
  <c r="AJ290" i="4"/>
  <c r="AI290" i="4"/>
  <c r="AG290" i="4"/>
  <c r="AF290" i="4"/>
  <c r="AE290" i="4"/>
  <c r="AN289" i="4"/>
  <c r="AM289" i="4"/>
  <c r="AL289" i="4"/>
  <c r="AK289" i="4"/>
  <c r="AJ289" i="4"/>
  <c r="AI289" i="4"/>
  <c r="AG289" i="4"/>
  <c r="AF289" i="4"/>
  <c r="AE289" i="4"/>
  <c r="AN288" i="4"/>
  <c r="AM288" i="4"/>
  <c r="AL288" i="4"/>
  <c r="AK288" i="4"/>
  <c r="AJ288" i="4"/>
  <c r="AI288" i="4"/>
  <c r="AG288" i="4"/>
  <c r="AF288" i="4"/>
  <c r="AE288" i="4"/>
  <c r="AN287" i="4"/>
  <c r="AM287" i="4"/>
  <c r="AL287" i="4"/>
  <c r="AK287" i="4"/>
  <c r="AJ287" i="4"/>
  <c r="AI287" i="4"/>
  <c r="AG287" i="4"/>
  <c r="AF287" i="4"/>
  <c r="AE287" i="4"/>
  <c r="AN286" i="4"/>
  <c r="AM286" i="4"/>
  <c r="AL286" i="4"/>
  <c r="AK286" i="4"/>
  <c r="AJ286" i="4"/>
  <c r="AI286" i="4"/>
  <c r="AG286" i="4"/>
  <c r="AF286" i="4"/>
  <c r="AE286" i="4"/>
  <c r="AN285" i="4"/>
  <c r="AM285" i="4"/>
  <c r="AL285" i="4"/>
  <c r="AK285" i="4"/>
  <c r="AJ285" i="4"/>
  <c r="AI285" i="4"/>
  <c r="AG285" i="4"/>
  <c r="AF285" i="4"/>
  <c r="AE285" i="4"/>
  <c r="AN284" i="4"/>
  <c r="AM284" i="4"/>
  <c r="AL284" i="4"/>
  <c r="AK284" i="4"/>
  <c r="AJ284" i="4"/>
  <c r="AI284" i="4"/>
  <c r="AG284" i="4"/>
  <c r="AF284" i="4"/>
  <c r="AE284" i="4"/>
  <c r="AN283" i="4"/>
  <c r="AM283" i="4"/>
  <c r="AL283" i="4"/>
  <c r="AK283" i="4"/>
  <c r="AJ283" i="4"/>
  <c r="AI283" i="4"/>
  <c r="AG283" i="4"/>
  <c r="AF283" i="4"/>
  <c r="AE283" i="4"/>
  <c r="AN282" i="4"/>
  <c r="AM282" i="4"/>
  <c r="AL282" i="4"/>
  <c r="AK282" i="4"/>
  <c r="AJ282" i="4"/>
  <c r="AI282" i="4"/>
  <c r="AG282" i="4"/>
  <c r="AF282" i="4"/>
  <c r="AE282" i="4"/>
  <c r="AN281" i="4"/>
  <c r="AM281" i="4"/>
  <c r="AL281" i="4"/>
  <c r="AK281" i="4"/>
  <c r="AJ281" i="4"/>
  <c r="AI281" i="4"/>
  <c r="AG281" i="4"/>
  <c r="AF281" i="4"/>
  <c r="AE281" i="4"/>
  <c r="AN280" i="4"/>
  <c r="AM280" i="4"/>
  <c r="AL280" i="4"/>
  <c r="AK280" i="4"/>
  <c r="AJ280" i="4"/>
  <c r="AI280" i="4"/>
  <c r="AG280" i="4"/>
  <c r="AF280" i="4"/>
  <c r="AE280" i="4"/>
  <c r="AN279" i="4"/>
  <c r="AM279" i="4"/>
  <c r="AL279" i="4"/>
  <c r="AK279" i="4"/>
  <c r="AJ279" i="4"/>
  <c r="AI279" i="4"/>
  <c r="AG279" i="4"/>
  <c r="AF279" i="4"/>
  <c r="AE279" i="4"/>
  <c r="AN278" i="4"/>
  <c r="AM278" i="4"/>
  <c r="AL278" i="4"/>
  <c r="AK278" i="4"/>
  <c r="AJ278" i="4"/>
  <c r="AI278" i="4"/>
  <c r="AG278" i="4"/>
  <c r="AF278" i="4"/>
  <c r="AE278" i="4"/>
  <c r="AN277" i="4"/>
  <c r="AM277" i="4"/>
  <c r="AL277" i="4"/>
  <c r="AK277" i="4"/>
  <c r="AJ277" i="4"/>
  <c r="AI277" i="4"/>
  <c r="AG277" i="4"/>
  <c r="AF277" i="4"/>
  <c r="AE277" i="4"/>
  <c r="AN276" i="4"/>
  <c r="AM276" i="4"/>
  <c r="AL276" i="4"/>
  <c r="AK276" i="4"/>
  <c r="AJ276" i="4"/>
  <c r="AI276" i="4"/>
  <c r="AG276" i="4"/>
  <c r="AF276" i="4"/>
  <c r="AE276" i="4"/>
  <c r="AN275" i="4"/>
  <c r="AM275" i="4"/>
  <c r="AL275" i="4"/>
  <c r="AK275" i="4"/>
  <c r="AJ275" i="4"/>
  <c r="AI275" i="4"/>
  <c r="AG275" i="4"/>
  <c r="AF275" i="4"/>
  <c r="AE275" i="4"/>
  <c r="AN274" i="4"/>
  <c r="AM274" i="4"/>
  <c r="AL274" i="4"/>
  <c r="AK274" i="4"/>
  <c r="AJ274" i="4"/>
  <c r="AI274" i="4"/>
  <c r="AG274" i="4"/>
  <c r="AF274" i="4"/>
  <c r="AE274" i="4"/>
  <c r="AN273" i="4"/>
  <c r="AM273" i="4"/>
  <c r="AL273" i="4"/>
  <c r="AK273" i="4"/>
  <c r="AJ273" i="4"/>
  <c r="AI273" i="4"/>
  <c r="AG273" i="4"/>
  <c r="AF273" i="4"/>
  <c r="AE273" i="4"/>
  <c r="AN272" i="4"/>
  <c r="AM272" i="4"/>
  <c r="AL272" i="4"/>
  <c r="AK272" i="4"/>
  <c r="AJ272" i="4"/>
  <c r="AI272" i="4"/>
  <c r="AG272" i="4"/>
  <c r="AF272" i="4"/>
  <c r="AE272" i="4"/>
  <c r="AN271" i="4"/>
  <c r="AM271" i="4"/>
  <c r="AL271" i="4"/>
  <c r="AK271" i="4"/>
  <c r="AJ271" i="4"/>
  <c r="AI271" i="4"/>
  <c r="AG271" i="4"/>
  <c r="AF271" i="4"/>
  <c r="AE271" i="4"/>
  <c r="AN270" i="4"/>
  <c r="AM270" i="4"/>
  <c r="AL270" i="4"/>
  <c r="AK270" i="4"/>
  <c r="AJ270" i="4"/>
  <c r="AI270" i="4"/>
  <c r="AG270" i="4"/>
  <c r="AF270" i="4"/>
  <c r="AE270" i="4"/>
  <c r="AN269" i="4"/>
  <c r="AM269" i="4"/>
  <c r="AL269" i="4"/>
  <c r="AK269" i="4"/>
  <c r="AJ269" i="4"/>
  <c r="AI269" i="4"/>
  <c r="AG269" i="4"/>
  <c r="AF269" i="4"/>
  <c r="AE269" i="4"/>
  <c r="AN268" i="4"/>
  <c r="AM268" i="4"/>
  <c r="AL268" i="4"/>
  <c r="AK268" i="4"/>
  <c r="AJ268" i="4"/>
  <c r="AI268" i="4"/>
  <c r="AG268" i="4"/>
  <c r="AF268" i="4"/>
  <c r="AE268" i="4"/>
  <c r="AN267" i="4"/>
  <c r="AM267" i="4"/>
  <c r="AL267" i="4"/>
  <c r="AK267" i="4"/>
  <c r="AJ267" i="4"/>
  <c r="AI267" i="4"/>
  <c r="AG267" i="4"/>
  <c r="AF267" i="4"/>
  <c r="AE267" i="4"/>
  <c r="AN266" i="4"/>
  <c r="AM266" i="4"/>
  <c r="AL266" i="4"/>
  <c r="AK266" i="4"/>
  <c r="AJ266" i="4"/>
  <c r="AI266" i="4"/>
  <c r="AG266" i="4"/>
  <c r="AF266" i="4"/>
  <c r="AE266" i="4"/>
  <c r="AF265" i="4"/>
  <c r="Y265" i="4"/>
  <c r="AJ265" i="4" s="1"/>
  <c r="X265" i="4"/>
  <c r="AI265" i="4" s="1"/>
  <c r="V265" i="4"/>
  <c r="AH265" i="4" s="1"/>
  <c r="Q265" i="4"/>
  <c r="AE265" i="4" s="1"/>
  <c r="O265" i="4"/>
  <c r="N265" i="4"/>
  <c r="M265" i="4"/>
  <c r="L265" i="4"/>
  <c r="K265" i="4"/>
  <c r="J265" i="4"/>
  <c r="I265" i="4"/>
  <c r="H265" i="4"/>
  <c r="G265" i="4"/>
  <c r="E265" i="4"/>
  <c r="Y264" i="4"/>
  <c r="AJ264" i="4" s="1"/>
  <c r="X264" i="4"/>
  <c r="V264" i="4"/>
  <c r="AH264" i="4" s="1"/>
  <c r="Q264" i="4"/>
  <c r="AE264" i="4" s="1"/>
  <c r="O264" i="4"/>
  <c r="N264" i="4"/>
  <c r="M264" i="4"/>
  <c r="L264" i="4"/>
  <c r="K264" i="4"/>
  <c r="J264" i="4"/>
  <c r="I264" i="4"/>
  <c r="H264" i="4"/>
  <c r="G264" i="4"/>
  <c r="E264" i="4"/>
  <c r="D264" i="4"/>
  <c r="AF264" i="4" s="1"/>
  <c r="AF263" i="4"/>
  <c r="Y263" i="4"/>
  <c r="AJ263" i="4" s="1"/>
  <c r="X263" i="4"/>
  <c r="V263" i="4"/>
  <c r="AH263" i="4" s="1"/>
  <c r="Q263" i="4"/>
  <c r="AE263" i="4" s="1"/>
  <c r="O263" i="4"/>
  <c r="N263" i="4"/>
  <c r="M263" i="4"/>
  <c r="L263" i="4"/>
  <c r="K263" i="4"/>
  <c r="J263" i="4"/>
  <c r="I263" i="4"/>
  <c r="H263" i="4"/>
  <c r="G263" i="4"/>
  <c r="E263" i="4"/>
  <c r="AI262" i="4"/>
  <c r="AF262" i="4"/>
  <c r="AE262" i="4"/>
  <c r="AD262" i="4"/>
  <c r="AD265" i="4" s="1"/>
  <c r="AC262" i="4"/>
  <c r="AC265" i="4" s="1"/>
  <c r="AB262" i="4"/>
  <c r="AB265" i="4" s="1"/>
  <c r="AA262" i="4"/>
  <c r="AA265" i="4" s="1"/>
  <c r="AG265" i="4" s="1"/>
  <c r="Z262" i="4"/>
  <c r="Z265" i="4" s="1"/>
  <c r="AL265" i="4" s="1"/>
  <c r="Y262" i="4"/>
  <c r="AJ262" i="4" s="1"/>
  <c r="W262" i="4"/>
  <c r="U262" i="4"/>
  <c r="T262" i="4"/>
  <c r="T265" i="4" s="1"/>
  <c r="S262" i="4"/>
  <c r="S265" i="4" s="1"/>
  <c r="R262" i="4"/>
  <c r="R265" i="4" s="1"/>
  <c r="AM265" i="4" s="1"/>
  <c r="P262" i="4"/>
  <c r="P265" i="4" s="1"/>
  <c r="F262" i="4"/>
  <c r="F265" i="4" s="1"/>
  <c r="AI261" i="4"/>
  <c r="AF261" i="4"/>
  <c r="AE261" i="4"/>
  <c r="AD261" i="4"/>
  <c r="AD264" i="4" s="1"/>
  <c r="AC261" i="4"/>
  <c r="AB261" i="4"/>
  <c r="AB264" i="4" s="1"/>
  <c r="AA261" i="4"/>
  <c r="AA264" i="4" s="1"/>
  <c r="AG264" i="4" s="1"/>
  <c r="Z261" i="4"/>
  <c r="Z264" i="4" s="1"/>
  <c r="AL264" i="4" s="1"/>
  <c r="Y261" i="4"/>
  <c r="AJ261" i="4" s="1"/>
  <c r="W261" i="4"/>
  <c r="W264" i="4" s="1"/>
  <c r="U261" i="4"/>
  <c r="U264" i="4" s="1"/>
  <c r="T261" i="4"/>
  <c r="T264" i="4" s="1"/>
  <c r="S261" i="4"/>
  <c r="S264" i="4" s="1"/>
  <c r="R261" i="4"/>
  <c r="R264" i="4" s="1"/>
  <c r="AM264" i="4" s="1"/>
  <c r="P261" i="4"/>
  <c r="P264" i="4" s="1"/>
  <c r="F261" i="4"/>
  <c r="F264" i="4" s="1"/>
  <c r="AI260" i="4"/>
  <c r="AF260" i="4"/>
  <c r="AE260" i="4"/>
  <c r="AD260" i="4"/>
  <c r="AD263" i="4" s="1"/>
  <c r="AC260" i="4"/>
  <c r="AC263" i="4" s="1"/>
  <c r="AB260" i="4"/>
  <c r="AB263" i="4" s="1"/>
  <c r="AA260" i="4"/>
  <c r="AA263" i="4" s="1"/>
  <c r="AG263" i="4" s="1"/>
  <c r="Z260" i="4"/>
  <c r="AL260" i="4" s="1"/>
  <c r="Y260" i="4"/>
  <c r="AJ260" i="4" s="1"/>
  <c r="W260" i="4"/>
  <c r="W263" i="4" s="1"/>
  <c r="U260" i="4"/>
  <c r="U263" i="4" s="1"/>
  <c r="T260" i="4"/>
  <c r="T263" i="4" s="1"/>
  <c r="S260" i="4"/>
  <c r="S263" i="4" s="1"/>
  <c r="R260" i="4"/>
  <c r="R263" i="4" s="1"/>
  <c r="AM263" i="4" s="1"/>
  <c r="P260" i="4"/>
  <c r="P263" i="4" s="1"/>
  <c r="F260" i="4"/>
  <c r="F263" i="4" s="1"/>
  <c r="AN259" i="4"/>
  <c r="AM259" i="4"/>
  <c r="AL259" i="4"/>
  <c r="AK259" i="4"/>
  <c r="AJ259" i="4"/>
  <c r="AI259" i="4"/>
  <c r="AG259" i="4"/>
  <c r="AF259" i="4"/>
  <c r="AE259" i="4"/>
  <c r="AN258" i="4"/>
  <c r="AM258" i="4"/>
  <c r="AL258" i="4"/>
  <c r="AK258" i="4"/>
  <c r="AJ258" i="4"/>
  <c r="AI258" i="4"/>
  <c r="AG258" i="4"/>
  <c r="AF258" i="4"/>
  <c r="AE258" i="4"/>
  <c r="AN257" i="4"/>
  <c r="AM257" i="4"/>
  <c r="AL257" i="4"/>
  <c r="AK257" i="4"/>
  <c r="AJ257" i="4"/>
  <c r="AI257" i="4"/>
  <c r="AG257" i="4"/>
  <c r="AF257" i="4"/>
  <c r="AE257" i="4"/>
  <c r="AN256" i="4"/>
  <c r="AM256" i="4"/>
  <c r="AL256" i="4"/>
  <c r="AK256" i="4"/>
  <c r="AJ256" i="4"/>
  <c r="AI256" i="4"/>
  <c r="AG256" i="4"/>
  <c r="AF256" i="4"/>
  <c r="AE256" i="4"/>
  <c r="AN255" i="4"/>
  <c r="AM255" i="4"/>
  <c r="AL255" i="4"/>
  <c r="AK255" i="4"/>
  <c r="AJ255" i="4"/>
  <c r="AI255" i="4"/>
  <c r="AG255" i="4"/>
  <c r="AF255" i="4"/>
  <c r="AE255" i="4"/>
  <c r="AN254" i="4"/>
  <c r="AM254" i="4"/>
  <c r="AL254" i="4"/>
  <c r="AK254" i="4"/>
  <c r="AJ254" i="4"/>
  <c r="AI254" i="4"/>
  <c r="AG254" i="4"/>
  <c r="AF254" i="4"/>
  <c r="AE254" i="4"/>
  <c r="AN253" i="4"/>
  <c r="AM253" i="4"/>
  <c r="AL253" i="4"/>
  <c r="AK253" i="4"/>
  <c r="AJ253" i="4"/>
  <c r="AI253" i="4"/>
  <c r="AG253" i="4"/>
  <c r="AF253" i="4"/>
  <c r="AE253" i="4"/>
  <c r="AN252" i="4"/>
  <c r="AM252" i="4"/>
  <c r="AL252" i="4"/>
  <c r="AK252" i="4"/>
  <c r="AJ252" i="4"/>
  <c r="AI252" i="4"/>
  <c r="AG252" i="4"/>
  <c r="AF252" i="4"/>
  <c r="AE252" i="4"/>
  <c r="AN251" i="4"/>
  <c r="AM251" i="4"/>
  <c r="AL251" i="4"/>
  <c r="AK251" i="4"/>
  <c r="AJ251" i="4"/>
  <c r="AI251" i="4"/>
  <c r="AG251" i="4"/>
  <c r="AF251" i="4"/>
  <c r="AE251" i="4"/>
  <c r="AN250" i="4"/>
  <c r="AM250" i="4"/>
  <c r="AL250" i="4"/>
  <c r="AK250" i="4"/>
  <c r="AJ250" i="4"/>
  <c r="AI250" i="4"/>
  <c r="AG250" i="4"/>
  <c r="AF250" i="4"/>
  <c r="AE250" i="4"/>
  <c r="AN249" i="4"/>
  <c r="AM249" i="4"/>
  <c r="AL249" i="4"/>
  <c r="AK249" i="4"/>
  <c r="AJ249" i="4"/>
  <c r="AI249" i="4"/>
  <c r="AG249" i="4"/>
  <c r="AF249" i="4"/>
  <c r="AE249" i="4"/>
  <c r="AN248" i="4"/>
  <c r="AM248" i="4"/>
  <c r="AL248" i="4"/>
  <c r="AK248" i="4"/>
  <c r="AJ248" i="4"/>
  <c r="AI248" i="4"/>
  <c r="AG248" i="4"/>
  <c r="AF248" i="4"/>
  <c r="AE248" i="4"/>
  <c r="AN247" i="4"/>
  <c r="AM247" i="4"/>
  <c r="AL247" i="4"/>
  <c r="AK247" i="4"/>
  <c r="AJ247" i="4"/>
  <c r="AI247" i="4"/>
  <c r="AG247" i="4"/>
  <c r="AF247" i="4"/>
  <c r="AE247" i="4"/>
  <c r="AN246" i="4"/>
  <c r="AM246" i="4"/>
  <c r="AL246" i="4"/>
  <c r="AK246" i="4"/>
  <c r="AJ246" i="4"/>
  <c r="AI246" i="4"/>
  <c r="AG246" i="4"/>
  <c r="AF246" i="4"/>
  <c r="AE246" i="4"/>
  <c r="AN245" i="4"/>
  <c r="AM245" i="4"/>
  <c r="AL245" i="4"/>
  <c r="AK245" i="4"/>
  <c r="AJ245" i="4"/>
  <c r="AI245" i="4"/>
  <c r="AG245" i="4"/>
  <c r="AF245" i="4"/>
  <c r="AE245" i="4"/>
  <c r="AN244" i="4"/>
  <c r="AM244" i="4"/>
  <c r="AL244" i="4"/>
  <c r="AK244" i="4"/>
  <c r="AJ244" i="4"/>
  <c r="AI244" i="4"/>
  <c r="AG244" i="4"/>
  <c r="AF244" i="4"/>
  <c r="AE244" i="4"/>
  <c r="AN243" i="4"/>
  <c r="AM243" i="4"/>
  <c r="AL243" i="4"/>
  <c r="AK243" i="4"/>
  <c r="AJ243" i="4"/>
  <c r="AI243" i="4"/>
  <c r="AG243" i="4"/>
  <c r="AF243" i="4"/>
  <c r="AE243" i="4"/>
  <c r="AN242" i="4"/>
  <c r="AM242" i="4"/>
  <c r="AL242" i="4"/>
  <c r="AK242" i="4"/>
  <c r="AJ242" i="4"/>
  <c r="AI242" i="4"/>
  <c r="AG242" i="4"/>
  <c r="AF242" i="4"/>
  <c r="AE242" i="4"/>
  <c r="AN241" i="4"/>
  <c r="AM241" i="4"/>
  <c r="AL241" i="4"/>
  <c r="AK241" i="4"/>
  <c r="AJ241" i="4"/>
  <c r="AI241" i="4"/>
  <c r="AG241" i="4"/>
  <c r="AF241" i="4"/>
  <c r="AE241" i="4"/>
  <c r="AN240" i="4"/>
  <c r="AM240" i="4"/>
  <c r="AL240" i="4"/>
  <c r="AK240" i="4"/>
  <c r="AJ240" i="4"/>
  <c r="AI240" i="4"/>
  <c r="AG240" i="4"/>
  <c r="AF240" i="4"/>
  <c r="AE240" i="4"/>
  <c r="AN239" i="4"/>
  <c r="AM239" i="4"/>
  <c r="AL239" i="4"/>
  <c r="AK239" i="4"/>
  <c r="AJ239" i="4"/>
  <c r="AI239" i="4"/>
  <c r="AG239" i="4"/>
  <c r="AF239" i="4"/>
  <c r="AE239" i="4"/>
  <c r="AN238" i="4"/>
  <c r="AM238" i="4"/>
  <c r="AL238" i="4"/>
  <c r="AK238" i="4"/>
  <c r="AJ238" i="4"/>
  <c r="AI238" i="4"/>
  <c r="AG238" i="4"/>
  <c r="AF238" i="4"/>
  <c r="AE238" i="4"/>
  <c r="AN237" i="4"/>
  <c r="AM237" i="4"/>
  <c r="AL237" i="4"/>
  <c r="AK237" i="4"/>
  <c r="AJ237" i="4"/>
  <c r="AI237" i="4"/>
  <c r="AG237" i="4"/>
  <c r="AF237" i="4"/>
  <c r="AE237" i="4"/>
  <c r="AN236" i="4"/>
  <c r="AM236" i="4"/>
  <c r="AL236" i="4"/>
  <c r="AK236" i="4"/>
  <c r="AJ236" i="4"/>
  <c r="AI236" i="4"/>
  <c r="AG236" i="4"/>
  <c r="AF236" i="4"/>
  <c r="AE236" i="4"/>
  <c r="AN235" i="4"/>
  <c r="AM235" i="4"/>
  <c r="AL235" i="4"/>
  <c r="AK235" i="4"/>
  <c r="AJ235" i="4"/>
  <c r="AI235" i="4"/>
  <c r="AG235" i="4"/>
  <c r="AF235" i="4"/>
  <c r="AE235" i="4"/>
  <c r="AN234" i="4"/>
  <c r="AM234" i="4"/>
  <c r="AL234" i="4"/>
  <c r="AK234" i="4"/>
  <c r="AJ234" i="4"/>
  <c r="AI234" i="4"/>
  <c r="AG234" i="4"/>
  <c r="AF234" i="4"/>
  <c r="AE234" i="4"/>
  <c r="AN233" i="4"/>
  <c r="AM233" i="4"/>
  <c r="AL233" i="4"/>
  <c r="AK233" i="4"/>
  <c r="AJ233" i="4"/>
  <c r="AI233" i="4"/>
  <c r="AG233" i="4"/>
  <c r="AF233" i="4"/>
  <c r="AE233" i="4"/>
  <c r="AN232" i="4"/>
  <c r="AM232" i="4"/>
  <c r="AL232" i="4"/>
  <c r="AK232" i="4"/>
  <c r="AJ232" i="4"/>
  <c r="AI232" i="4"/>
  <c r="AG232" i="4"/>
  <c r="AF232" i="4"/>
  <c r="AE232" i="4"/>
  <c r="AN231" i="4"/>
  <c r="AM231" i="4"/>
  <c r="AL231" i="4"/>
  <c r="AK231" i="4"/>
  <c r="AJ231" i="4"/>
  <c r="AI231" i="4"/>
  <c r="AG231" i="4"/>
  <c r="AF231" i="4"/>
  <c r="AE231" i="4"/>
  <c r="AN230" i="4"/>
  <c r="AM230" i="4"/>
  <c r="AL230" i="4"/>
  <c r="AK230" i="4"/>
  <c r="AJ230" i="4"/>
  <c r="AI230" i="4"/>
  <c r="AG230" i="4"/>
  <c r="AF230" i="4"/>
  <c r="AE230" i="4"/>
  <c r="AN229" i="4"/>
  <c r="AM229" i="4"/>
  <c r="AL229" i="4"/>
  <c r="AK229" i="4"/>
  <c r="AJ229" i="4"/>
  <c r="AI229" i="4"/>
  <c r="AG229" i="4"/>
  <c r="AF229" i="4"/>
  <c r="AE229" i="4"/>
  <c r="AN228" i="4"/>
  <c r="AM228" i="4"/>
  <c r="AL228" i="4"/>
  <c r="AK228" i="4"/>
  <c r="AJ228" i="4"/>
  <c r="AI228" i="4"/>
  <c r="AG228" i="4"/>
  <c r="AF228" i="4"/>
  <c r="AE228" i="4"/>
  <c r="AN227" i="4"/>
  <c r="AM227" i="4"/>
  <c r="AL227" i="4"/>
  <c r="AK227" i="4"/>
  <c r="AJ227" i="4"/>
  <c r="AI227" i="4"/>
  <c r="AG227" i="4"/>
  <c r="AF227" i="4"/>
  <c r="AE227" i="4"/>
  <c r="AN226" i="4"/>
  <c r="AM226" i="4"/>
  <c r="AL226" i="4"/>
  <c r="AK226" i="4"/>
  <c r="AJ226" i="4"/>
  <c r="AI226" i="4"/>
  <c r="AG226" i="4"/>
  <c r="AF226" i="4"/>
  <c r="AE226" i="4"/>
  <c r="AN225" i="4"/>
  <c r="AM225" i="4"/>
  <c r="AL225" i="4"/>
  <c r="AK225" i="4"/>
  <c r="AJ225" i="4"/>
  <c r="AI225" i="4"/>
  <c r="AG225" i="4"/>
  <c r="AF225" i="4"/>
  <c r="AE225" i="4"/>
  <c r="AN224" i="4"/>
  <c r="AM224" i="4"/>
  <c r="AL224" i="4"/>
  <c r="AK224" i="4"/>
  <c r="AJ224" i="4"/>
  <c r="AI224" i="4"/>
  <c r="AG224" i="4"/>
  <c r="AF224" i="4"/>
  <c r="AE224" i="4"/>
  <c r="AN223" i="4"/>
  <c r="AM223" i="4"/>
  <c r="AL223" i="4"/>
  <c r="AK223" i="4"/>
  <c r="AJ223" i="4"/>
  <c r="AI223" i="4"/>
  <c r="AG223" i="4"/>
  <c r="AF223" i="4"/>
  <c r="AE223" i="4"/>
  <c r="AN222" i="4"/>
  <c r="AM222" i="4"/>
  <c r="AL222" i="4"/>
  <c r="AK222" i="4"/>
  <c r="AJ222" i="4"/>
  <c r="AI222" i="4"/>
  <c r="AG222" i="4"/>
  <c r="AF222" i="4"/>
  <c r="AE222" i="4"/>
  <c r="AN221" i="4"/>
  <c r="AM221" i="4"/>
  <c r="AL221" i="4"/>
  <c r="AK221" i="4"/>
  <c r="AJ221" i="4"/>
  <c r="AI221" i="4"/>
  <c r="AG221" i="4"/>
  <c r="AF221" i="4"/>
  <c r="AE221" i="4"/>
  <c r="AN220" i="4"/>
  <c r="AM220" i="4"/>
  <c r="AL220" i="4"/>
  <c r="AK220" i="4"/>
  <c r="AJ220" i="4"/>
  <c r="AI220" i="4"/>
  <c r="AG220" i="4"/>
  <c r="AF220" i="4"/>
  <c r="AE220" i="4"/>
  <c r="AN219" i="4"/>
  <c r="AM219" i="4"/>
  <c r="AL219" i="4"/>
  <c r="AK219" i="4"/>
  <c r="AJ219" i="4"/>
  <c r="AI219" i="4"/>
  <c r="AG219" i="4"/>
  <c r="AF219" i="4"/>
  <c r="AE219" i="4"/>
  <c r="AN218" i="4"/>
  <c r="AM218" i="4"/>
  <c r="AL218" i="4"/>
  <c r="AK218" i="4"/>
  <c r="AJ218" i="4"/>
  <c r="AI218" i="4"/>
  <c r="AG218" i="4"/>
  <c r="AF218" i="4"/>
  <c r="AE218" i="4"/>
  <c r="AN217" i="4"/>
  <c r="AM217" i="4"/>
  <c r="AL217" i="4"/>
  <c r="AK217" i="4"/>
  <c r="AJ217" i="4"/>
  <c r="AI217" i="4"/>
  <c r="AG217" i="4"/>
  <c r="AF217" i="4"/>
  <c r="AE217" i="4"/>
  <c r="AN216" i="4"/>
  <c r="AM216" i="4"/>
  <c r="AL216" i="4"/>
  <c r="AK216" i="4"/>
  <c r="AJ216" i="4"/>
  <c r="AI216" i="4"/>
  <c r="AG216" i="4"/>
  <c r="AF216" i="4"/>
  <c r="AE216" i="4"/>
  <c r="AN215" i="4"/>
  <c r="AM215" i="4"/>
  <c r="AL215" i="4"/>
  <c r="AK215" i="4"/>
  <c r="AJ215" i="4"/>
  <c r="AI215" i="4"/>
  <c r="AG215" i="4"/>
  <c r="AF215" i="4"/>
  <c r="AE215" i="4"/>
  <c r="AN214" i="4"/>
  <c r="AM214" i="4"/>
  <c r="AL214" i="4"/>
  <c r="AK214" i="4"/>
  <c r="AJ214" i="4"/>
  <c r="AI214" i="4"/>
  <c r="AG214" i="4"/>
  <c r="AF214" i="4"/>
  <c r="AE214" i="4"/>
  <c r="AN213" i="4"/>
  <c r="AM213" i="4"/>
  <c r="AL213" i="4"/>
  <c r="AK213" i="4"/>
  <c r="AJ213" i="4"/>
  <c r="AI213" i="4"/>
  <c r="AG213" i="4"/>
  <c r="AF213" i="4"/>
  <c r="AE213" i="4"/>
  <c r="AN212" i="4"/>
  <c r="AM212" i="4"/>
  <c r="AL212" i="4"/>
  <c r="AK212" i="4"/>
  <c r="AJ212" i="4"/>
  <c r="AI212" i="4"/>
  <c r="AG212" i="4"/>
  <c r="AF212" i="4"/>
  <c r="AE212" i="4"/>
  <c r="AN211" i="4"/>
  <c r="AM211" i="4"/>
  <c r="AL211" i="4"/>
  <c r="AK211" i="4"/>
  <c r="AJ211" i="4"/>
  <c r="AI211" i="4"/>
  <c r="AG211" i="4"/>
  <c r="AF211" i="4"/>
  <c r="AE211" i="4"/>
  <c r="AN210" i="4"/>
  <c r="AM210" i="4"/>
  <c r="AL210" i="4"/>
  <c r="AK210" i="4"/>
  <c r="AJ210" i="4"/>
  <c r="AI210" i="4"/>
  <c r="AG210" i="4"/>
  <c r="AF210" i="4"/>
  <c r="AE210" i="4"/>
  <c r="AN209" i="4"/>
  <c r="AM209" i="4"/>
  <c r="AL209" i="4"/>
  <c r="AK209" i="4"/>
  <c r="AJ209" i="4"/>
  <c r="AI209" i="4"/>
  <c r="AG209" i="4"/>
  <c r="AF209" i="4"/>
  <c r="AE209" i="4"/>
  <c r="AN208" i="4"/>
  <c r="AM208" i="4"/>
  <c r="AL208" i="4"/>
  <c r="AK208" i="4"/>
  <c r="AJ208" i="4"/>
  <c r="AI208" i="4"/>
  <c r="AG208" i="4"/>
  <c r="AF208" i="4"/>
  <c r="AE208" i="4"/>
  <c r="AN207" i="4"/>
  <c r="AM207" i="4"/>
  <c r="AL207" i="4"/>
  <c r="AK207" i="4"/>
  <c r="AJ207" i="4"/>
  <c r="AI207" i="4"/>
  <c r="AG207" i="4"/>
  <c r="AF207" i="4"/>
  <c r="AE207" i="4"/>
  <c r="AN206" i="4"/>
  <c r="AM206" i="4"/>
  <c r="AL206" i="4"/>
  <c r="AK206" i="4"/>
  <c r="AJ206" i="4"/>
  <c r="AI206" i="4"/>
  <c r="AG206" i="4"/>
  <c r="AF206" i="4"/>
  <c r="AE206" i="4"/>
  <c r="AN205" i="4"/>
  <c r="AM205" i="4"/>
  <c r="AL205" i="4"/>
  <c r="AK205" i="4"/>
  <c r="AJ205" i="4"/>
  <c r="AI205" i="4"/>
  <c r="AG205" i="4"/>
  <c r="AF205" i="4"/>
  <c r="AE205" i="4"/>
  <c r="AN204" i="4"/>
  <c r="AM204" i="4"/>
  <c r="AL204" i="4"/>
  <c r="AK204" i="4"/>
  <c r="AJ204" i="4"/>
  <c r="AI204" i="4"/>
  <c r="AG204" i="4"/>
  <c r="AF204" i="4"/>
  <c r="AE204" i="4"/>
  <c r="AN203" i="4"/>
  <c r="AM203" i="4"/>
  <c r="AL203" i="4"/>
  <c r="AK203" i="4"/>
  <c r="AJ203" i="4"/>
  <c r="AI203" i="4"/>
  <c r="AG203" i="4"/>
  <c r="AF203" i="4"/>
  <c r="AE203" i="4"/>
  <c r="AN202" i="4"/>
  <c r="AM202" i="4"/>
  <c r="AL202" i="4"/>
  <c r="AK202" i="4"/>
  <c r="AJ202" i="4"/>
  <c r="AI202" i="4"/>
  <c r="AG202" i="4"/>
  <c r="AF202" i="4"/>
  <c r="AE202" i="4"/>
  <c r="AN201" i="4"/>
  <c r="AM201" i="4"/>
  <c r="AL201" i="4"/>
  <c r="AK201" i="4"/>
  <c r="AJ201" i="4"/>
  <c r="AI201" i="4"/>
  <c r="AG201" i="4"/>
  <c r="AF201" i="4"/>
  <c r="AE201" i="4"/>
  <c r="AN200" i="4"/>
  <c r="AM200" i="4"/>
  <c r="AL200" i="4"/>
  <c r="AK200" i="4"/>
  <c r="AJ200" i="4"/>
  <c r="AI200" i="4"/>
  <c r="AG200" i="4"/>
  <c r="AF200" i="4"/>
  <c r="AE200" i="4"/>
  <c r="AN199" i="4"/>
  <c r="AM199" i="4"/>
  <c r="AL199" i="4"/>
  <c r="AK199" i="4"/>
  <c r="AJ199" i="4"/>
  <c r="AI199" i="4"/>
  <c r="AG199" i="4"/>
  <c r="AF199" i="4"/>
  <c r="AE199" i="4"/>
  <c r="AN198" i="4"/>
  <c r="AM198" i="4"/>
  <c r="AL198" i="4"/>
  <c r="AK198" i="4"/>
  <c r="AJ198" i="4"/>
  <c r="AI198" i="4"/>
  <c r="AG198" i="4"/>
  <c r="AF198" i="4"/>
  <c r="AE198" i="4"/>
  <c r="AN197" i="4"/>
  <c r="AM197" i="4"/>
  <c r="AL197" i="4"/>
  <c r="AK197" i="4"/>
  <c r="AJ197" i="4"/>
  <c r="AI197" i="4"/>
  <c r="AG197" i="4"/>
  <c r="AF197" i="4"/>
  <c r="AE197" i="4"/>
  <c r="AN196" i="4"/>
  <c r="AM196" i="4"/>
  <c r="AL196" i="4"/>
  <c r="AK196" i="4"/>
  <c r="AJ196" i="4"/>
  <c r="AI196" i="4"/>
  <c r="AG196" i="4"/>
  <c r="AF196" i="4"/>
  <c r="AE196" i="4"/>
  <c r="AN195" i="4"/>
  <c r="AM195" i="4"/>
  <c r="AL195" i="4"/>
  <c r="AK195" i="4"/>
  <c r="AJ195" i="4"/>
  <c r="AI195" i="4"/>
  <c r="AG195" i="4"/>
  <c r="AF195" i="4"/>
  <c r="AE195" i="4"/>
  <c r="AN194" i="4"/>
  <c r="AM194" i="4"/>
  <c r="AL194" i="4"/>
  <c r="AK194" i="4"/>
  <c r="AJ194" i="4"/>
  <c r="AI194" i="4"/>
  <c r="AG194" i="4"/>
  <c r="AF194" i="4"/>
  <c r="AE194" i="4"/>
  <c r="AN193" i="4"/>
  <c r="AM193" i="4"/>
  <c r="AL193" i="4"/>
  <c r="AK193" i="4"/>
  <c r="AJ193" i="4"/>
  <c r="AI193" i="4"/>
  <c r="AG193" i="4"/>
  <c r="AF193" i="4"/>
  <c r="AE193" i="4"/>
  <c r="AN192" i="4"/>
  <c r="AM192" i="4"/>
  <c r="AL192" i="4"/>
  <c r="AK192" i="4"/>
  <c r="AJ192" i="4"/>
  <c r="AI192" i="4"/>
  <c r="AG192" i="4"/>
  <c r="AF192" i="4"/>
  <c r="AE192" i="4"/>
  <c r="AN191" i="4"/>
  <c r="AM191" i="4"/>
  <c r="AL191" i="4"/>
  <c r="AK191" i="4"/>
  <c r="AJ191" i="4"/>
  <c r="AI191" i="4"/>
  <c r="AG191" i="4"/>
  <c r="AF191" i="4"/>
  <c r="AE191" i="4"/>
  <c r="AN190" i="4"/>
  <c r="AM190" i="4"/>
  <c r="AL190" i="4"/>
  <c r="AK190" i="4"/>
  <c r="AJ190" i="4"/>
  <c r="AI190" i="4"/>
  <c r="AG190" i="4"/>
  <c r="AF190" i="4"/>
  <c r="AE190" i="4"/>
  <c r="AN189" i="4"/>
  <c r="AM189" i="4"/>
  <c r="AL189" i="4"/>
  <c r="AK189" i="4"/>
  <c r="AJ189" i="4"/>
  <c r="AI189" i="4"/>
  <c r="AG189" i="4"/>
  <c r="AF189" i="4"/>
  <c r="AE189" i="4"/>
  <c r="AN188" i="4"/>
  <c r="AM188" i="4"/>
  <c r="AL188" i="4"/>
  <c r="AK188" i="4"/>
  <c r="AJ188" i="4"/>
  <c r="AI188" i="4"/>
  <c r="AG188" i="4"/>
  <c r="AF188" i="4"/>
  <c r="AE188" i="4"/>
  <c r="AN187" i="4"/>
  <c r="AM187" i="4"/>
  <c r="AL187" i="4"/>
  <c r="AK187" i="4"/>
  <c r="AJ187" i="4"/>
  <c r="AI187" i="4"/>
  <c r="AG187" i="4"/>
  <c r="AF187" i="4"/>
  <c r="AE187" i="4"/>
  <c r="AN186" i="4"/>
  <c r="AM186" i="4"/>
  <c r="AL186" i="4"/>
  <c r="AK186" i="4"/>
  <c r="AJ186" i="4"/>
  <c r="AI186" i="4"/>
  <c r="AG186" i="4"/>
  <c r="AF186" i="4"/>
  <c r="AE186" i="4"/>
  <c r="AN185" i="4"/>
  <c r="AM185" i="4"/>
  <c r="AL185" i="4"/>
  <c r="AK185" i="4"/>
  <c r="AJ185" i="4"/>
  <c r="AI185" i="4"/>
  <c r="AG185" i="4"/>
  <c r="AF185" i="4"/>
  <c r="AE185" i="4"/>
  <c r="AN184" i="4"/>
  <c r="AM184" i="4"/>
  <c r="AL184" i="4"/>
  <c r="AK184" i="4"/>
  <c r="AJ184" i="4"/>
  <c r="AI184" i="4"/>
  <c r="AG184" i="4"/>
  <c r="AF184" i="4"/>
  <c r="AE184" i="4"/>
  <c r="AN183" i="4"/>
  <c r="AM183" i="4"/>
  <c r="AL183" i="4"/>
  <c r="AK183" i="4"/>
  <c r="AJ183" i="4"/>
  <c r="AI183" i="4"/>
  <c r="AG183" i="4"/>
  <c r="AF183" i="4"/>
  <c r="AE183" i="4"/>
  <c r="AN182" i="4"/>
  <c r="AM182" i="4"/>
  <c r="AL182" i="4"/>
  <c r="AK182" i="4"/>
  <c r="AJ182" i="4"/>
  <c r="AI182" i="4"/>
  <c r="AG182" i="4"/>
  <c r="AF182" i="4"/>
  <c r="AE182" i="4"/>
  <c r="AN181" i="4"/>
  <c r="AM181" i="4"/>
  <c r="AL181" i="4"/>
  <c r="AK181" i="4"/>
  <c r="AJ181" i="4"/>
  <c r="AI181" i="4"/>
  <c r="AG181" i="4"/>
  <c r="AF181" i="4"/>
  <c r="AE181" i="4"/>
  <c r="AN180" i="4"/>
  <c r="AM180" i="4"/>
  <c r="AL180" i="4"/>
  <c r="AK180" i="4"/>
  <c r="AJ180" i="4"/>
  <c r="AI180" i="4"/>
  <c r="AG180" i="4"/>
  <c r="AF180" i="4"/>
  <c r="AE180" i="4"/>
  <c r="AN179" i="4"/>
  <c r="AM179" i="4"/>
  <c r="AL179" i="4"/>
  <c r="AK179" i="4"/>
  <c r="AJ179" i="4"/>
  <c r="AI179" i="4"/>
  <c r="AG179" i="4"/>
  <c r="AF179" i="4"/>
  <c r="AE179" i="4"/>
  <c r="AN178" i="4"/>
  <c r="AM178" i="4"/>
  <c r="AL178" i="4"/>
  <c r="AK178" i="4"/>
  <c r="AJ178" i="4"/>
  <c r="AI178" i="4"/>
  <c r="AG178" i="4"/>
  <c r="AF178" i="4"/>
  <c r="AE178" i="4"/>
  <c r="AN177" i="4"/>
  <c r="AM177" i="4"/>
  <c r="AL177" i="4"/>
  <c r="AK177" i="4"/>
  <c r="AJ177" i="4"/>
  <c r="AI177" i="4"/>
  <c r="AG177" i="4"/>
  <c r="AF177" i="4"/>
  <c r="AE177" i="4"/>
  <c r="AN176" i="4"/>
  <c r="AM176" i="4"/>
  <c r="AL176" i="4"/>
  <c r="AK176" i="4"/>
  <c r="AJ176" i="4"/>
  <c r="AI176" i="4"/>
  <c r="AG176" i="4"/>
  <c r="AF176" i="4"/>
  <c r="AE176" i="4"/>
  <c r="AN175" i="4"/>
  <c r="AM175" i="4"/>
  <c r="AL175" i="4"/>
  <c r="AK175" i="4"/>
  <c r="AJ175" i="4"/>
  <c r="AI175" i="4"/>
  <c r="AG175" i="4"/>
  <c r="AF175" i="4"/>
  <c r="AE175" i="4"/>
  <c r="AN174" i="4"/>
  <c r="AM174" i="4"/>
  <c r="AL174" i="4"/>
  <c r="AK174" i="4"/>
  <c r="AJ174" i="4"/>
  <c r="AI174" i="4"/>
  <c r="AG174" i="4"/>
  <c r="AF174" i="4"/>
  <c r="AE174" i="4"/>
  <c r="AN173" i="4"/>
  <c r="AM173" i="4"/>
  <c r="AL173" i="4"/>
  <c r="AK173" i="4"/>
  <c r="AJ173" i="4"/>
  <c r="AI173" i="4"/>
  <c r="AG173" i="4"/>
  <c r="AF173" i="4"/>
  <c r="AE173" i="4"/>
  <c r="AN172" i="4"/>
  <c r="AM172" i="4"/>
  <c r="AL172" i="4"/>
  <c r="AK172" i="4"/>
  <c r="AJ172" i="4"/>
  <c r="AI172" i="4"/>
  <c r="AG172" i="4"/>
  <c r="AF172" i="4"/>
  <c r="AE172" i="4"/>
  <c r="AN171" i="4"/>
  <c r="AM171" i="4"/>
  <c r="AL171" i="4"/>
  <c r="AK171" i="4"/>
  <c r="AJ171" i="4"/>
  <c r="AI171" i="4"/>
  <c r="AG171" i="4"/>
  <c r="AF171" i="4"/>
  <c r="AE171" i="4"/>
  <c r="AN170" i="4"/>
  <c r="AM170" i="4"/>
  <c r="AL170" i="4"/>
  <c r="AK170" i="4"/>
  <c r="AJ170" i="4"/>
  <c r="AI170" i="4"/>
  <c r="AG170" i="4"/>
  <c r="AF170" i="4"/>
  <c r="AE170" i="4"/>
  <c r="AN169" i="4"/>
  <c r="AM169" i="4"/>
  <c r="AL169" i="4"/>
  <c r="AK169" i="4"/>
  <c r="AJ169" i="4"/>
  <c r="AI169" i="4"/>
  <c r="AG169" i="4"/>
  <c r="AF169" i="4"/>
  <c r="AE169" i="4"/>
  <c r="AN168" i="4"/>
  <c r="AM168" i="4"/>
  <c r="AL168" i="4"/>
  <c r="AK168" i="4"/>
  <c r="AJ168" i="4"/>
  <c r="AI168" i="4"/>
  <c r="AG168" i="4"/>
  <c r="AF168" i="4"/>
  <c r="AE168" i="4"/>
  <c r="AN167" i="4"/>
  <c r="AM167" i="4"/>
  <c r="AL167" i="4"/>
  <c r="AK167" i="4"/>
  <c r="AJ167" i="4"/>
  <c r="AI167" i="4"/>
  <c r="AG167" i="4"/>
  <c r="AF167" i="4"/>
  <c r="AE167" i="4"/>
  <c r="AN166" i="4"/>
  <c r="AM166" i="4"/>
  <c r="AL166" i="4"/>
  <c r="AK166" i="4"/>
  <c r="AJ166" i="4"/>
  <c r="AI166" i="4"/>
  <c r="AG166" i="4"/>
  <c r="AF166" i="4"/>
  <c r="AE166" i="4"/>
  <c r="AN165" i="4"/>
  <c r="AM165" i="4"/>
  <c r="AL165" i="4"/>
  <c r="AK165" i="4"/>
  <c r="AJ165" i="4"/>
  <c r="AI165" i="4"/>
  <c r="AG165" i="4"/>
  <c r="AF165" i="4"/>
  <c r="AE165" i="4"/>
  <c r="AN164" i="4"/>
  <c r="AM164" i="4"/>
  <c r="AL164" i="4"/>
  <c r="AK164" i="4"/>
  <c r="AJ164" i="4"/>
  <c r="AI164" i="4"/>
  <c r="AG164" i="4"/>
  <c r="AF164" i="4"/>
  <c r="AE164" i="4"/>
  <c r="AN163" i="4"/>
  <c r="AM163" i="4"/>
  <c r="AL163" i="4"/>
  <c r="AK163" i="4"/>
  <c r="AJ163" i="4"/>
  <c r="AI163" i="4"/>
  <c r="AG163" i="4"/>
  <c r="AF163" i="4"/>
  <c r="AE163" i="4"/>
  <c r="AN162" i="4"/>
  <c r="AM162" i="4"/>
  <c r="AL162" i="4"/>
  <c r="AK162" i="4"/>
  <c r="AJ162" i="4"/>
  <c r="AI162" i="4"/>
  <c r="AG162" i="4"/>
  <c r="AF162" i="4"/>
  <c r="AE162" i="4"/>
  <c r="AN161" i="4"/>
  <c r="AM161" i="4"/>
  <c r="AL161" i="4"/>
  <c r="AK161" i="4"/>
  <c r="AJ161" i="4"/>
  <c r="AI161" i="4"/>
  <c r="AG161" i="4"/>
  <c r="AF161" i="4"/>
  <c r="AE161" i="4"/>
  <c r="AN160" i="4"/>
  <c r="AM160" i="4"/>
  <c r="AL160" i="4"/>
  <c r="AK160" i="4"/>
  <c r="AJ160" i="4"/>
  <c r="AI160" i="4"/>
  <c r="AG160" i="4"/>
  <c r="AF160" i="4"/>
  <c r="AE160" i="4"/>
  <c r="AN159" i="4"/>
  <c r="AM159" i="4"/>
  <c r="AL159" i="4"/>
  <c r="AK159" i="4"/>
  <c r="AJ159" i="4"/>
  <c r="AI159" i="4"/>
  <c r="AG159" i="4"/>
  <c r="AF159" i="4"/>
  <c r="AE159" i="4"/>
  <c r="AN158" i="4"/>
  <c r="AM158" i="4"/>
  <c r="AL158" i="4"/>
  <c r="AK158" i="4"/>
  <c r="AJ158" i="4"/>
  <c r="AI158" i="4"/>
  <c r="AG158" i="4"/>
  <c r="AF158" i="4"/>
  <c r="AE158" i="4"/>
  <c r="AN157" i="4"/>
  <c r="AM157" i="4"/>
  <c r="AL157" i="4"/>
  <c r="AK157" i="4"/>
  <c r="AJ157" i="4"/>
  <c r="AI157" i="4"/>
  <c r="AG157" i="4"/>
  <c r="AF157" i="4"/>
  <c r="AE157" i="4"/>
  <c r="AN156" i="4"/>
  <c r="AM156" i="4"/>
  <c r="AL156" i="4"/>
  <c r="AK156" i="4"/>
  <c r="AJ156" i="4"/>
  <c r="AI156" i="4"/>
  <c r="AG156" i="4"/>
  <c r="AF156" i="4"/>
  <c r="AE156" i="4"/>
  <c r="AN155" i="4"/>
  <c r="AM155" i="4"/>
  <c r="AL155" i="4"/>
  <c r="AK155" i="4"/>
  <c r="AJ155" i="4"/>
  <c r="AI155" i="4"/>
  <c r="AG155" i="4"/>
  <c r="AF155" i="4"/>
  <c r="AE155" i="4"/>
  <c r="AN154" i="4"/>
  <c r="AM154" i="4"/>
  <c r="AL154" i="4"/>
  <c r="AK154" i="4"/>
  <c r="AJ154" i="4"/>
  <c r="AI154" i="4"/>
  <c r="AG154" i="4"/>
  <c r="AF154" i="4"/>
  <c r="AE154" i="4"/>
  <c r="AN153" i="4"/>
  <c r="AM153" i="4"/>
  <c r="AL153" i="4"/>
  <c r="AK153" i="4"/>
  <c r="AJ153" i="4"/>
  <c r="AI153" i="4"/>
  <c r="AG153" i="4"/>
  <c r="AF153" i="4"/>
  <c r="AE153" i="4"/>
  <c r="AN152" i="4"/>
  <c r="AM152" i="4"/>
  <c r="AL152" i="4"/>
  <c r="AK152" i="4"/>
  <c r="AJ152" i="4"/>
  <c r="AI152" i="4"/>
  <c r="AG152" i="4"/>
  <c r="AF152" i="4"/>
  <c r="AE152" i="4"/>
  <c r="AN151" i="4"/>
  <c r="AM151" i="4"/>
  <c r="AL151" i="4"/>
  <c r="AK151" i="4"/>
  <c r="AJ151" i="4"/>
  <c r="AI151" i="4"/>
  <c r="AG151" i="4"/>
  <c r="AF151" i="4"/>
  <c r="AE151" i="4"/>
  <c r="AN150" i="4"/>
  <c r="AM150" i="4"/>
  <c r="AL150" i="4"/>
  <c r="AK150" i="4"/>
  <c r="AJ150" i="4"/>
  <c r="AI150" i="4"/>
  <c r="AG150" i="4"/>
  <c r="AF150" i="4"/>
  <c r="AE150" i="4"/>
  <c r="AN149" i="4"/>
  <c r="AM149" i="4"/>
  <c r="AL149" i="4"/>
  <c r="AK149" i="4"/>
  <c r="AJ149" i="4"/>
  <c r="AI149" i="4"/>
  <c r="AG149" i="4"/>
  <c r="AF149" i="4"/>
  <c r="AE149" i="4"/>
  <c r="AN148" i="4"/>
  <c r="AM148" i="4"/>
  <c r="AL148" i="4"/>
  <c r="AK148" i="4"/>
  <c r="AJ148" i="4"/>
  <c r="AI148" i="4"/>
  <c r="AG148" i="4"/>
  <c r="AF148" i="4"/>
  <c r="AE148" i="4"/>
  <c r="AN147" i="4"/>
  <c r="AM147" i="4"/>
  <c r="AL147" i="4"/>
  <c r="AK147" i="4"/>
  <c r="AJ147" i="4"/>
  <c r="AI147" i="4"/>
  <c r="AG147" i="4"/>
  <c r="AF147" i="4"/>
  <c r="AE147" i="4"/>
  <c r="AN146" i="4"/>
  <c r="AM146" i="4"/>
  <c r="AL146" i="4"/>
  <c r="AK146" i="4"/>
  <c r="AJ146" i="4"/>
  <c r="AI146" i="4"/>
  <c r="AG146" i="4"/>
  <c r="AF146" i="4"/>
  <c r="AE146" i="4"/>
  <c r="AN145" i="4"/>
  <c r="AM145" i="4"/>
  <c r="AL145" i="4"/>
  <c r="AK145" i="4"/>
  <c r="AJ145" i="4"/>
  <c r="AI145" i="4"/>
  <c r="AG145" i="4"/>
  <c r="AF145" i="4"/>
  <c r="AE145" i="4"/>
  <c r="AN144" i="4"/>
  <c r="AM144" i="4"/>
  <c r="AL144" i="4"/>
  <c r="AK144" i="4"/>
  <c r="AJ144" i="4"/>
  <c r="AI144" i="4"/>
  <c r="AG144" i="4"/>
  <c r="AF144" i="4"/>
  <c r="AE144" i="4"/>
  <c r="AN143" i="4"/>
  <c r="AM143" i="4"/>
  <c r="AL143" i="4"/>
  <c r="AK143" i="4"/>
  <c r="AJ143" i="4"/>
  <c r="AI143" i="4"/>
  <c r="AG143" i="4"/>
  <c r="AF143" i="4"/>
  <c r="AE143" i="4"/>
  <c r="AN142" i="4"/>
  <c r="AM142" i="4"/>
  <c r="AL142" i="4"/>
  <c r="AK142" i="4"/>
  <c r="AJ142" i="4"/>
  <c r="AI142" i="4"/>
  <c r="AG142" i="4"/>
  <c r="AF142" i="4"/>
  <c r="AE142" i="4"/>
  <c r="AN141" i="4"/>
  <c r="AM141" i="4"/>
  <c r="AL141" i="4"/>
  <c r="AK141" i="4"/>
  <c r="AJ141" i="4"/>
  <c r="AI141" i="4"/>
  <c r="AG141" i="4"/>
  <c r="AF141" i="4"/>
  <c r="AE141" i="4"/>
  <c r="AN140" i="4"/>
  <c r="AM140" i="4"/>
  <c r="AL140" i="4"/>
  <c r="AK140" i="4"/>
  <c r="AJ140" i="4"/>
  <c r="AI140" i="4"/>
  <c r="AG140" i="4"/>
  <c r="AF140" i="4"/>
  <c r="AE140" i="4"/>
  <c r="AN139" i="4"/>
  <c r="AM139" i="4"/>
  <c r="AL139" i="4"/>
  <c r="AK139" i="4"/>
  <c r="AJ139" i="4"/>
  <c r="AI139" i="4"/>
  <c r="AG139" i="4"/>
  <c r="AF139" i="4"/>
  <c r="AE139" i="4"/>
  <c r="AN138" i="4"/>
  <c r="AM138" i="4"/>
  <c r="AL138" i="4"/>
  <c r="AK138" i="4"/>
  <c r="AJ138" i="4"/>
  <c r="AI138" i="4"/>
  <c r="AG138" i="4"/>
  <c r="AF138" i="4"/>
  <c r="AE138" i="4"/>
  <c r="AN137" i="4"/>
  <c r="AM137" i="4"/>
  <c r="AL137" i="4"/>
  <c r="AK137" i="4"/>
  <c r="AJ137" i="4"/>
  <c r="AI137" i="4"/>
  <c r="AG137" i="4"/>
  <c r="AF137" i="4"/>
  <c r="AE137" i="4"/>
  <c r="AN136" i="4"/>
  <c r="AM136" i="4"/>
  <c r="AL136" i="4"/>
  <c r="AK136" i="4"/>
  <c r="AJ136" i="4"/>
  <c r="AI136" i="4"/>
  <c r="AG136" i="4"/>
  <c r="AF136" i="4"/>
  <c r="AE136" i="4"/>
  <c r="AN135" i="4"/>
  <c r="AM135" i="4"/>
  <c r="AL135" i="4"/>
  <c r="AK135" i="4"/>
  <c r="AJ135" i="4"/>
  <c r="AI135" i="4"/>
  <c r="AG135" i="4"/>
  <c r="AF135" i="4"/>
  <c r="AE135" i="4"/>
  <c r="AN134" i="4"/>
  <c r="AM134" i="4"/>
  <c r="AL134" i="4"/>
  <c r="AK134" i="4"/>
  <c r="AJ134" i="4"/>
  <c r="AI134" i="4"/>
  <c r="AG134" i="4"/>
  <c r="AF134" i="4"/>
  <c r="AE134" i="4"/>
  <c r="AN133" i="4"/>
  <c r="AM133" i="4"/>
  <c r="AL133" i="4"/>
  <c r="AK133" i="4"/>
  <c r="AJ133" i="4"/>
  <c r="AI133" i="4"/>
  <c r="AG133" i="4"/>
  <c r="AF133" i="4"/>
  <c r="AE133" i="4"/>
  <c r="AN132" i="4"/>
  <c r="AM132" i="4"/>
  <c r="AL132" i="4"/>
  <c r="AK132" i="4"/>
  <c r="AJ132" i="4"/>
  <c r="AI132" i="4"/>
  <c r="AG132" i="4"/>
  <c r="AF132" i="4"/>
  <c r="AE132" i="4"/>
  <c r="AN131" i="4"/>
  <c r="AM131" i="4"/>
  <c r="AL131" i="4"/>
  <c r="AK131" i="4"/>
  <c r="AJ131" i="4"/>
  <c r="AI131" i="4"/>
  <c r="AG131" i="4"/>
  <c r="AF131" i="4"/>
  <c r="AE131" i="4"/>
  <c r="AN130" i="4"/>
  <c r="AM130" i="4"/>
  <c r="AL130" i="4"/>
  <c r="AK130" i="4"/>
  <c r="AJ130" i="4"/>
  <c r="AI130" i="4"/>
  <c r="AG130" i="4"/>
  <c r="AF130" i="4"/>
  <c r="AE130" i="4"/>
  <c r="AN129" i="4"/>
  <c r="AM129" i="4"/>
  <c r="AL129" i="4"/>
  <c r="AK129" i="4"/>
  <c r="AJ129" i="4"/>
  <c r="AI129" i="4"/>
  <c r="AG129" i="4"/>
  <c r="AF129" i="4"/>
  <c r="AE129" i="4"/>
  <c r="AN128" i="4"/>
  <c r="AM128" i="4"/>
  <c r="AL128" i="4"/>
  <c r="AK128" i="4"/>
  <c r="AJ128" i="4"/>
  <c r="AI128" i="4"/>
  <c r="AG128" i="4"/>
  <c r="AF128" i="4"/>
  <c r="AE128" i="4"/>
  <c r="AN127" i="4"/>
  <c r="AM127" i="4"/>
  <c r="AL127" i="4"/>
  <c r="AK127" i="4"/>
  <c r="AJ127" i="4"/>
  <c r="AI127" i="4"/>
  <c r="AG127" i="4"/>
  <c r="AF127" i="4"/>
  <c r="AE127" i="4"/>
  <c r="AN126" i="4"/>
  <c r="AM126" i="4"/>
  <c r="AL126" i="4"/>
  <c r="AK126" i="4"/>
  <c r="AJ126" i="4"/>
  <c r="AI126" i="4"/>
  <c r="AG126" i="4"/>
  <c r="AF126" i="4"/>
  <c r="AE126" i="4"/>
  <c r="AN125" i="4"/>
  <c r="AM125" i="4"/>
  <c r="AL125" i="4"/>
  <c r="AK125" i="4"/>
  <c r="AJ125" i="4"/>
  <c r="AI125" i="4"/>
  <c r="AG125" i="4"/>
  <c r="AF125" i="4"/>
  <c r="AE125" i="4"/>
  <c r="AN124" i="4"/>
  <c r="AM124" i="4"/>
  <c r="AL124" i="4"/>
  <c r="AK124" i="4"/>
  <c r="AJ124" i="4"/>
  <c r="AI124" i="4"/>
  <c r="AG124" i="4"/>
  <c r="AF124" i="4"/>
  <c r="AE124" i="4"/>
  <c r="AN123" i="4"/>
  <c r="AM123" i="4"/>
  <c r="AL123" i="4"/>
  <c r="AK123" i="4"/>
  <c r="AJ123" i="4"/>
  <c r="AI123" i="4"/>
  <c r="AG123" i="4"/>
  <c r="AF123" i="4"/>
  <c r="AE123" i="4"/>
  <c r="AN122" i="4"/>
  <c r="AM122" i="4"/>
  <c r="AL122" i="4"/>
  <c r="AK122" i="4"/>
  <c r="AJ122" i="4"/>
  <c r="AI122" i="4"/>
  <c r="AG122" i="4"/>
  <c r="AF122" i="4"/>
  <c r="AE122" i="4"/>
  <c r="AN121" i="4"/>
  <c r="AM121" i="4"/>
  <c r="AL121" i="4"/>
  <c r="AK121" i="4"/>
  <c r="AJ121" i="4"/>
  <c r="AI121" i="4"/>
  <c r="AG121" i="4"/>
  <c r="AF121" i="4"/>
  <c r="AE121" i="4"/>
  <c r="AN120" i="4"/>
  <c r="AM120" i="4"/>
  <c r="AL120" i="4"/>
  <c r="AK120" i="4"/>
  <c r="AJ120" i="4"/>
  <c r="AI120" i="4"/>
  <c r="AG120" i="4"/>
  <c r="AF120" i="4"/>
  <c r="AE120" i="4"/>
  <c r="AN119" i="4"/>
  <c r="AM119" i="4"/>
  <c r="AL119" i="4"/>
  <c r="AK119" i="4"/>
  <c r="AJ119" i="4"/>
  <c r="AI119" i="4"/>
  <c r="AG119" i="4"/>
  <c r="AF119" i="4"/>
  <c r="AE119" i="4"/>
  <c r="AN118" i="4"/>
  <c r="AM118" i="4"/>
  <c r="AL118" i="4"/>
  <c r="AK118" i="4"/>
  <c r="AJ118" i="4"/>
  <c r="AI118" i="4"/>
  <c r="AG118" i="4"/>
  <c r="AF118" i="4"/>
  <c r="AE118" i="4"/>
  <c r="AN117" i="4"/>
  <c r="AM117" i="4"/>
  <c r="AL117" i="4"/>
  <c r="AK117" i="4"/>
  <c r="AJ117" i="4"/>
  <c r="AI117" i="4"/>
  <c r="AG117" i="4"/>
  <c r="AF117" i="4"/>
  <c r="AE117" i="4"/>
  <c r="AN116" i="4"/>
  <c r="AM116" i="4"/>
  <c r="AL116" i="4"/>
  <c r="AK116" i="4"/>
  <c r="AJ116" i="4"/>
  <c r="AI116" i="4"/>
  <c r="AG116" i="4"/>
  <c r="AF116" i="4"/>
  <c r="AE116" i="4"/>
  <c r="AN115" i="4"/>
  <c r="AM115" i="4"/>
  <c r="AL115" i="4"/>
  <c r="AK115" i="4"/>
  <c r="AJ115" i="4"/>
  <c r="AI115" i="4"/>
  <c r="AG115" i="4"/>
  <c r="AF115" i="4"/>
  <c r="AE115" i="4"/>
  <c r="AN114" i="4"/>
  <c r="AM114" i="4"/>
  <c r="AL114" i="4"/>
  <c r="AK114" i="4"/>
  <c r="AJ114" i="4"/>
  <c r="AI114" i="4"/>
  <c r="AG114" i="4"/>
  <c r="AF114" i="4"/>
  <c r="AE114" i="4"/>
  <c r="AN113" i="4"/>
  <c r="AM113" i="4"/>
  <c r="AL113" i="4"/>
  <c r="AK113" i="4"/>
  <c r="AJ113" i="4"/>
  <c r="AI113" i="4"/>
  <c r="AG113" i="4"/>
  <c r="AF113" i="4"/>
  <c r="AE113" i="4"/>
  <c r="AN112" i="4"/>
  <c r="AM112" i="4"/>
  <c r="AL112" i="4"/>
  <c r="AK112" i="4"/>
  <c r="AJ112" i="4"/>
  <c r="AI112" i="4"/>
  <c r="AG112" i="4"/>
  <c r="AF112" i="4"/>
  <c r="AE112" i="4"/>
  <c r="AN111" i="4"/>
  <c r="AM111" i="4"/>
  <c r="AL111" i="4"/>
  <c r="AK111" i="4"/>
  <c r="AJ111" i="4"/>
  <c r="AI111" i="4"/>
  <c r="AG111" i="4"/>
  <c r="AF111" i="4"/>
  <c r="AE111" i="4"/>
  <c r="AN110" i="4"/>
  <c r="AM110" i="4"/>
  <c r="AL110" i="4"/>
  <c r="AK110" i="4"/>
  <c r="AJ110" i="4"/>
  <c r="AI110" i="4"/>
  <c r="AG110" i="4"/>
  <c r="AF110" i="4"/>
  <c r="AE110" i="4"/>
  <c r="AN109" i="4"/>
  <c r="AM109" i="4"/>
  <c r="AL109" i="4"/>
  <c r="AK109" i="4"/>
  <c r="AJ109" i="4"/>
  <c r="AI109" i="4"/>
  <c r="AG109" i="4"/>
  <c r="AF109" i="4"/>
  <c r="AE109" i="4"/>
  <c r="AN108" i="4"/>
  <c r="AM108" i="4"/>
  <c r="AL108" i="4"/>
  <c r="AK108" i="4"/>
  <c r="AJ108" i="4"/>
  <c r="AI108" i="4"/>
  <c r="AG108" i="4"/>
  <c r="AF108" i="4"/>
  <c r="AE108" i="4"/>
  <c r="AN83" i="4"/>
  <c r="AM83" i="4"/>
  <c r="AL83" i="4"/>
  <c r="AK83" i="4"/>
  <c r="AJ83" i="4"/>
  <c r="AI83" i="4"/>
  <c r="AG83" i="4"/>
  <c r="AF83" i="4"/>
  <c r="AE83" i="4"/>
  <c r="AN106" i="4"/>
  <c r="AM106" i="4"/>
  <c r="AL106" i="4"/>
  <c r="AK106" i="4"/>
  <c r="AJ106" i="4"/>
  <c r="AI106" i="4"/>
  <c r="AG106" i="4"/>
  <c r="AF106" i="4"/>
  <c r="AE106" i="4"/>
  <c r="AN105" i="4"/>
  <c r="AM105" i="4"/>
  <c r="AL105" i="4"/>
  <c r="AK105" i="4"/>
  <c r="AJ105" i="4"/>
  <c r="AI105" i="4"/>
  <c r="AG105" i="4"/>
  <c r="AF105" i="4"/>
  <c r="AE105" i="4"/>
  <c r="AN86" i="4"/>
  <c r="AM86" i="4"/>
  <c r="AL86" i="4"/>
  <c r="AK86" i="4"/>
  <c r="AJ86" i="4"/>
  <c r="AI86" i="4"/>
  <c r="AG86" i="4"/>
  <c r="AF86" i="4"/>
  <c r="AE86" i="4"/>
  <c r="AN103" i="4"/>
  <c r="AM103" i="4"/>
  <c r="AL103" i="4"/>
  <c r="AK103" i="4"/>
  <c r="AJ103" i="4"/>
  <c r="AI103" i="4"/>
  <c r="AG103" i="4"/>
  <c r="AF103" i="4"/>
  <c r="AE103" i="4"/>
  <c r="AN102" i="4"/>
  <c r="AM102" i="4"/>
  <c r="AL102" i="4"/>
  <c r="AK102" i="4"/>
  <c r="AJ102" i="4"/>
  <c r="AI102" i="4"/>
  <c r="AG102" i="4"/>
  <c r="AF102" i="4"/>
  <c r="AE102" i="4"/>
  <c r="AN95" i="4"/>
  <c r="AM95" i="4"/>
  <c r="AL95" i="4"/>
  <c r="AK95" i="4"/>
  <c r="AJ95" i="4"/>
  <c r="AI95" i="4"/>
  <c r="AG95" i="4"/>
  <c r="AF95" i="4"/>
  <c r="AE95" i="4"/>
  <c r="AN100" i="4"/>
  <c r="AM100" i="4"/>
  <c r="AL100" i="4"/>
  <c r="AK100" i="4"/>
  <c r="AJ100" i="4"/>
  <c r="AI100" i="4"/>
  <c r="AG100" i="4"/>
  <c r="AF100" i="4"/>
  <c r="AE100" i="4"/>
  <c r="AN99" i="4"/>
  <c r="AM99" i="4"/>
  <c r="AL99" i="4"/>
  <c r="AK99" i="4"/>
  <c r="AJ99" i="4"/>
  <c r="AI99" i="4"/>
  <c r="AG99" i="4"/>
  <c r="AF99" i="4"/>
  <c r="AE99" i="4"/>
  <c r="AN89" i="4"/>
  <c r="AM89" i="4"/>
  <c r="AL89" i="4"/>
  <c r="AK89" i="4"/>
  <c r="AJ89" i="4"/>
  <c r="AI89" i="4"/>
  <c r="AG89" i="4"/>
  <c r="AF89" i="4"/>
  <c r="AE89" i="4"/>
  <c r="AN97" i="4"/>
  <c r="AM97" i="4"/>
  <c r="AL97" i="4"/>
  <c r="AK97" i="4"/>
  <c r="AJ97" i="4"/>
  <c r="AI97" i="4"/>
  <c r="AG97" i="4"/>
  <c r="AF97" i="4"/>
  <c r="AE97" i="4"/>
  <c r="AN96" i="4"/>
  <c r="AM96" i="4"/>
  <c r="AL96" i="4"/>
  <c r="AK96" i="4"/>
  <c r="AJ96" i="4"/>
  <c r="AI96" i="4"/>
  <c r="AG96" i="4"/>
  <c r="AF96" i="4"/>
  <c r="AE96" i="4"/>
  <c r="AN107" i="4"/>
  <c r="AM107" i="4"/>
  <c r="AL107" i="4"/>
  <c r="AK107" i="4"/>
  <c r="AJ107" i="4"/>
  <c r="AI107" i="4"/>
  <c r="AG107" i="4"/>
  <c r="AF107" i="4"/>
  <c r="AE107" i="4"/>
  <c r="AN94" i="4"/>
  <c r="AM94" i="4"/>
  <c r="AL94" i="4"/>
  <c r="AK94" i="4"/>
  <c r="AJ94" i="4"/>
  <c r="AI94" i="4"/>
  <c r="AG94" i="4"/>
  <c r="AF94" i="4"/>
  <c r="AE94" i="4"/>
  <c r="AN93" i="4"/>
  <c r="AM93" i="4"/>
  <c r="AL93" i="4"/>
  <c r="AK93" i="4"/>
  <c r="AJ93" i="4"/>
  <c r="AI93" i="4"/>
  <c r="AG93" i="4"/>
  <c r="AF93" i="4"/>
  <c r="AE93" i="4"/>
  <c r="AN98" i="4"/>
  <c r="AM98" i="4"/>
  <c r="AL98" i="4"/>
  <c r="AK98" i="4"/>
  <c r="AJ98" i="4"/>
  <c r="AI98" i="4"/>
  <c r="AG98" i="4"/>
  <c r="AF98" i="4"/>
  <c r="AE98" i="4"/>
  <c r="AN91" i="4"/>
  <c r="AM91" i="4"/>
  <c r="AL91" i="4"/>
  <c r="AK91" i="4"/>
  <c r="AJ91" i="4"/>
  <c r="AI91" i="4"/>
  <c r="AG91" i="4"/>
  <c r="AF91" i="4"/>
  <c r="AE91" i="4"/>
  <c r="AN90" i="4"/>
  <c r="AM90" i="4"/>
  <c r="AL90" i="4"/>
  <c r="AK90" i="4"/>
  <c r="AJ90" i="4"/>
  <c r="AI90" i="4"/>
  <c r="AG90" i="4"/>
  <c r="AF90" i="4"/>
  <c r="AE90" i="4"/>
  <c r="AN92" i="4"/>
  <c r="AM92" i="4"/>
  <c r="AL92" i="4"/>
  <c r="AK92" i="4"/>
  <c r="AJ92" i="4"/>
  <c r="AI92" i="4"/>
  <c r="AG92" i="4"/>
  <c r="AF92" i="4"/>
  <c r="AE92" i="4"/>
  <c r="AN88" i="4"/>
  <c r="AM88" i="4"/>
  <c r="AL88" i="4"/>
  <c r="AK88" i="4"/>
  <c r="AJ88" i="4"/>
  <c r="AI88" i="4"/>
  <c r="AG88" i="4"/>
  <c r="AF88" i="4"/>
  <c r="AE88" i="4"/>
  <c r="AN87" i="4"/>
  <c r="AM87" i="4"/>
  <c r="AL87" i="4"/>
  <c r="AK87" i="4"/>
  <c r="AJ87" i="4"/>
  <c r="AI87" i="4"/>
  <c r="AG87" i="4"/>
  <c r="AF87" i="4"/>
  <c r="AE87" i="4"/>
  <c r="AN101" i="4"/>
  <c r="AM101" i="4"/>
  <c r="AL101" i="4"/>
  <c r="AK101" i="4"/>
  <c r="AJ101" i="4"/>
  <c r="AI101" i="4"/>
  <c r="AG101" i="4"/>
  <c r="AF101" i="4"/>
  <c r="AE101" i="4"/>
  <c r="AN85" i="4"/>
  <c r="AM85" i="4"/>
  <c r="AL85" i="4"/>
  <c r="AK85" i="4"/>
  <c r="AJ85" i="4"/>
  <c r="AI85" i="4"/>
  <c r="AG85" i="4"/>
  <c r="AF85" i="4"/>
  <c r="AE85" i="4"/>
  <c r="AN84" i="4"/>
  <c r="AM84" i="4"/>
  <c r="AL84" i="4"/>
  <c r="AK84" i="4"/>
  <c r="AJ84" i="4"/>
  <c r="AI84" i="4"/>
  <c r="AG84" i="4"/>
  <c r="AF84" i="4"/>
  <c r="AE84" i="4"/>
  <c r="AN104" i="4"/>
  <c r="AM104" i="4"/>
  <c r="AL104" i="4"/>
  <c r="AK104" i="4"/>
  <c r="AJ104" i="4"/>
  <c r="AI104" i="4"/>
  <c r="AG104" i="4"/>
  <c r="AF104" i="4"/>
  <c r="AE104" i="4"/>
  <c r="AN82" i="4"/>
  <c r="AM82" i="4"/>
  <c r="AL82" i="4"/>
  <c r="AK82" i="4"/>
  <c r="AJ82" i="4"/>
  <c r="AI82" i="4"/>
  <c r="AG82" i="4"/>
  <c r="AF82" i="4"/>
  <c r="AE82" i="4"/>
  <c r="AN81" i="4"/>
  <c r="AM81" i="4"/>
  <c r="AL81" i="4"/>
  <c r="AK81" i="4"/>
  <c r="AJ81" i="4"/>
  <c r="AI81" i="4"/>
  <c r="AG81" i="4"/>
  <c r="AF81" i="4"/>
  <c r="AE81" i="4"/>
  <c r="AN80" i="4"/>
  <c r="AM80" i="4"/>
  <c r="AL80" i="4"/>
  <c r="AK80" i="4"/>
  <c r="AJ80" i="4"/>
  <c r="AI80" i="4"/>
  <c r="AG80" i="4"/>
  <c r="AF80" i="4"/>
  <c r="AE80" i="4"/>
  <c r="AN79" i="4"/>
  <c r="AM79" i="4"/>
  <c r="AL79" i="4"/>
  <c r="AK79" i="4"/>
  <c r="AJ79" i="4"/>
  <c r="AI79" i="4"/>
  <c r="AG79" i="4"/>
  <c r="AF79" i="4"/>
  <c r="AE79" i="4"/>
  <c r="AN78" i="4"/>
  <c r="AM78" i="4"/>
  <c r="AL78" i="4"/>
  <c r="AK78" i="4"/>
  <c r="AJ78" i="4"/>
  <c r="AI78" i="4"/>
  <c r="AG78" i="4"/>
  <c r="AF78" i="4"/>
  <c r="AE78" i="4"/>
  <c r="AN74" i="4"/>
  <c r="AM74" i="4"/>
  <c r="AL74" i="4"/>
  <c r="AK74" i="4"/>
  <c r="AJ74" i="4"/>
  <c r="AI74" i="4"/>
  <c r="AG74" i="4"/>
  <c r="AF74" i="4"/>
  <c r="AE74" i="4"/>
  <c r="AN76" i="4"/>
  <c r="AM76" i="4"/>
  <c r="AL76" i="4"/>
  <c r="AK76" i="4"/>
  <c r="AJ76" i="4"/>
  <c r="AI76" i="4"/>
  <c r="AG76" i="4"/>
  <c r="AF76" i="4"/>
  <c r="AE76" i="4"/>
  <c r="AN75" i="4"/>
  <c r="AM75" i="4"/>
  <c r="AL75" i="4"/>
  <c r="AK75" i="4"/>
  <c r="AJ75" i="4"/>
  <c r="AI75" i="4"/>
  <c r="AG75" i="4"/>
  <c r="AF75" i="4"/>
  <c r="AE75" i="4"/>
  <c r="AN77" i="4"/>
  <c r="AM77" i="4"/>
  <c r="AL77" i="4"/>
  <c r="AK77" i="4"/>
  <c r="AJ77" i="4"/>
  <c r="AI77" i="4"/>
  <c r="AG77" i="4"/>
  <c r="AF77" i="4"/>
  <c r="AE77" i="4"/>
  <c r="AN73" i="4"/>
  <c r="AM73" i="4"/>
  <c r="AL73" i="4"/>
  <c r="AK73" i="4"/>
  <c r="AJ73" i="4"/>
  <c r="AI73" i="4"/>
  <c r="AG73" i="4"/>
  <c r="AF73" i="4"/>
  <c r="AE73" i="4"/>
  <c r="AN72" i="4"/>
  <c r="AM72" i="4"/>
  <c r="AL72" i="4"/>
  <c r="AK72" i="4"/>
  <c r="AJ72" i="4"/>
  <c r="AI72" i="4"/>
  <c r="AG72" i="4"/>
  <c r="AF72" i="4"/>
  <c r="AE72" i="4"/>
  <c r="AN71" i="4"/>
  <c r="AM71" i="4"/>
  <c r="AL71" i="4"/>
  <c r="AK71" i="4"/>
  <c r="AJ71" i="4"/>
  <c r="AI71" i="4"/>
  <c r="AG71" i="4"/>
  <c r="AF71" i="4"/>
  <c r="AE71" i="4"/>
  <c r="AN70" i="4"/>
  <c r="AM70" i="4"/>
  <c r="AL70" i="4"/>
  <c r="AK70" i="4"/>
  <c r="AJ70" i="4"/>
  <c r="AI70" i="4"/>
  <c r="AG70" i="4"/>
  <c r="AF70" i="4"/>
  <c r="AE70" i="4"/>
  <c r="AN69" i="4"/>
  <c r="AM69" i="4"/>
  <c r="AL69" i="4"/>
  <c r="AK69" i="4"/>
  <c r="AJ69" i="4"/>
  <c r="AI69" i="4"/>
  <c r="AG69" i="4"/>
  <c r="AF69" i="4"/>
  <c r="AE69" i="4"/>
  <c r="AN68" i="4"/>
  <c r="AM68" i="4"/>
  <c r="AL68" i="4"/>
  <c r="AK68" i="4"/>
  <c r="AJ68" i="4"/>
  <c r="AI68" i="4"/>
  <c r="AG68" i="4"/>
  <c r="AF68" i="4"/>
  <c r="AE68" i="4"/>
  <c r="AN67" i="4"/>
  <c r="AM67" i="4"/>
  <c r="AL67" i="4"/>
  <c r="AK67" i="4"/>
  <c r="AJ67" i="4"/>
  <c r="AI67" i="4"/>
  <c r="AG67" i="4"/>
  <c r="AF67" i="4"/>
  <c r="AE67" i="4"/>
  <c r="AN66" i="4"/>
  <c r="AM66" i="4"/>
  <c r="AL66" i="4"/>
  <c r="AK66" i="4"/>
  <c r="AJ66" i="4"/>
  <c r="AI66" i="4"/>
  <c r="AG66" i="4"/>
  <c r="AF66" i="4"/>
  <c r="AE66" i="4"/>
  <c r="AN65" i="4"/>
  <c r="AM65" i="4"/>
  <c r="AL65" i="4"/>
  <c r="AK65" i="4"/>
  <c r="AJ65" i="4"/>
  <c r="AI65" i="4"/>
  <c r="AG65" i="4"/>
  <c r="AF65" i="4"/>
  <c r="AE65" i="4"/>
  <c r="AN64" i="4"/>
  <c r="AM64" i="4"/>
  <c r="AL64" i="4"/>
  <c r="AK64" i="4"/>
  <c r="AJ64" i="4"/>
  <c r="AI64" i="4"/>
  <c r="AG64" i="4"/>
  <c r="AF64" i="4"/>
  <c r="AE64" i="4"/>
  <c r="AN63" i="4"/>
  <c r="AM63" i="4"/>
  <c r="AL63" i="4"/>
  <c r="AK63" i="4"/>
  <c r="AJ63" i="4"/>
  <c r="AI63" i="4"/>
  <c r="AG63" i="4"/>
  <c r="AF63" i="4"/>
  <c r="AE63" i="4"/>
  <c r="AN62" i="4"/>
  <c r="AM62" i="4"/>
  <c r="AL62" i="4"/>
  <c r="AK62" i="4"/>
  <c r="AJ62" i="4"/>
  <c r="AI62" i="4"/>
  <c r="AG62" i="4"/>
  <c r="AF62" i="4"/>
  <c r="AE62" i="4"/>
  <c r="AN61" i="4"/>
  <c r="AM61" i="4"/>
  <c r="AL61" i="4"/>
  <c r="AK61" i="4"/>
  <c r="AJ61" i="4"/>
  <c r="AI61" i="4"/>
  <c r="AG61" i="4"/>
  <c r="AF61" i="4"/>
  <c r="AE61" i="4"/>
  <c r="AN60" i="4"/>
  <c r="AM60" i="4"/>
  <c r="AL60" i="4"/>
  <c r="AK60" i="4"/>
  <c r="AJ60" i="4"/>
  <c r="AI60" i="4"/>
  <c r="AG60" i="4"/>
  <c r="AF60" i="4"/>
  <c r="AE60" i="4"/>
  <c r="AN59" i="4"/>
  <c r="AM59" i="4"/>
  <c r="AL59" i="4"/>
  <c r="AK59" i="4"/>
  <c r="AJ59" i="4"/>
  <c r="AI59" i="4"/>
  <c r="AG59" i="4"/>
  <c r="AF59" i="4"/>
  <c r="AE59" i="4"/>
  <c r="AN58" i="4"/>
  <c r="AM58" i="4"/>
  <c r="AL58" i="4"/>
  <c r="AK58" i="4"/>
  <c r="AJ58" i="4"/>
  <c r="AI58" i="4"/>
  <c r="AG58" i="4"/>
  <c r="AF58" i="4"/>
  <c r="AE58" i="4"/>
  <c r="AN57" i="4"/>
  <c r="AM57" i="4"/>
  <c r="AL57" i="4"/>
  <c r="AK57" i="4"/>
  <c r="AJ57" i="4"/>
  <c r="AI57" i="4"/>
  <c r="AG57" i="4"/>
  <c r="AF57" i="4"/>
  <c r="AE57" i="4"/>
  <c r="AN56" i="4"/>
  <c r="AM56" i="4"/>
  <c r="AL56" i="4"/>
  <c r="AK56" i="4"/>
  <c r="AJ56" i="4"/>
  <c r="AI56" i="4"/>
  <c r="AG56" i="4"/>
  <c r="AF56" i="4"/>
  <c r="AE56" i="4"/>
  <c r="AN55" i="4"/>
  <c r="AM55" i="4"/>
  <c r="AL55" i="4"/>
  <c r="AK55" i="4"/>
  <c r="AJ55" i="4"/>
  <c r="AI55" i="4"/>
  <c r="AG55" i="4"/>
  <c r="AF55" i="4"/>
  <c r="AE55" i="4"/>
  <c r="AN54" i="4"/>
  <c r="AM54" i="4"/>
  <c r="AL54" i="4"/>
  <c r="AK54" i="4"/>
  <c r="AJ54" i="4"/>
  <c r="AI54" i="4"/>
  <c r="AG54" i="4"/>
  <c r="AF54" i="4"/>
  <c r="AE54" i="4"/>
  <c r="AN53" i="4"/>
  <c r="AM53" i="4"/>
  <c r="AL53" i="4"/>
  <c r="AK53" i="4"/>
  <c r="AJ53" i="4"/>
  <c r="AI53" i="4"/>
  <c r="AG53" i="4"/>
  <c r="AF53" i="4"/>
  <c r="AE53" i="4"/>
  <c r="AN52" i="4"/>
  <c r="AM52" i="4"/>
  <c r="AL52" i="4"/>
  <c r="AK52" i="4"/>
  <c r="AJ52" i="4"/>
  <c r="AI52" i="4"/>
  <c r="AG52" i="4"/>
  <c r="AF52" i="4"/>
  <c r="AE52" i="4"/>
  <c r="AN51" i="4"/>
  <c r="AM51" i="4"/>
  <c r="AL51" i="4"/>
  <c r="AK51" i="4"/>
  <c r="AJ51" i="4"/>
  <c r="AI51" i="4"/>
  <c r="AG51" i="4"/>
  <c r="AF51" i="4"/>
  <c r="AE51" i="4"/>
  <c r="AN50" i="4"/>
  <c r="AM50" i="4"/>
  <c r="AL50" i="4"/>
  <c r="AK50" i="4"/>
  <c r="AJ50" i="4"/>
  <c r="AI50" i="4"/>
  <c r="AG50" i="4"/>
  <c r="AF50" i="4"/>
  <c r="AE50" i="4"/>
  <c r="AN49" i="4"/>
  <c r="AM49" i="4"/>
  <c r="AL49" i="4"/>
  <c r="AK49" i="4"/>
  <c r="AJ49" i="4"/>
  <c r="AI49" i="4"/>
  <c r="AG49" i="4"/>
  <c r="AF49" i="4"/>
  <c r="AE49" i="4"/>
  <c r="AN48" i="4"/>
  <c r="AM48" i="4"/>
  <c r="AL48" i="4"/>
  <c r="AK48" i="4"/>
  <c r="AJ48" i="4"/>
  <c r="AI48" i="4"/>
  <c r="AG48" i="4"/>
  <c r="AF48" i="4"/>
  <c r="AE48" i="4"/>
  <c r="AN47" i="4"/>
  <c r="AM47" i="4"/>
  <c r="AL47" i="4"/>
  <c r="AK47" i="4"/>
  <c r="AJ47" i="4"/>
  <c r="AI47" i="4"/>
  <c r="AG47" i="4"/>
  <c r="AF47" i="4"/>
  <c r="AE47" i="4"/>
  <c r="AN46" i="4"/>
  <c r="AM46" i="4"/>
  <c r="AL46" i="4"/>
  <c r="AK46" i="4"/>
  <c r="AJ46" i="4"/>
  <c r="AI46" i="4"/>
  <c r="AG46" i="4"/>
  <c r="AF46" i="4"/>
  <c r="AE46" i="4"/>
  <c r="AN45" i="4"/>
  <c r="AM45" i="4"/>
  <c r="AL45" i="4"/>
  <c r="AK45" i="4"/>
  <c r="AJ45" i="4"/>
  <c r="AI45" i="4"/>
  <c r="AG45" i="4"/>
  <c r="AF45" i="4"/>
  <c r="AE45" i="4"/>
  <c r="AN44" i="4"/>
  <c r="AM44" i="4"/>
  <c r="AL44" i="4"/>
  <c r="AK44" i="4"/>
  <c r="AJ44" i="4"/>
  <c r="AI44" i="4"/>
  <c r="AG44" i="4"/>
  <c r="AF44" i="4"/>
  <c r="AE44" i="4"/>
  <c r="AN43" i="4"/>
  <c r="AM43" i="4"/>
  <c r="AL43" i="4"/>
  <c r="AK43" i="4"/>
  <c r="AJ43" i="4"/>
  <c r="AI43" i="4"/>
  <c r="AG43" i="4"/>
  <c r="AF43" i="4"/>
  <c r="AE43" i="4"/>
  <c r="AN42" i="4"/>
  <c r="AM42" i="4"/>
  <c r="AL42" i="4"/>
  <c r="AK42" i="4"/>
  <c r="AJ42" i="4"/>
  <c r="AI42" i="4"/>
  <c r="AG42" i="4"/>
  <c r="AF42" i="4"/>
  <c r="AE42" i="4"/>
  <c r="AN41" i="4"/>
  <c r="AM41" i="4"/>
  <c r="AL41" i="4"/>
  <c r="AK41" i="4"/>
  <c r="AJ41" i="4"/>
  <c r="AI41" i="4"/>
  <c r="AG41" i="4"/>
  <c r="AF41" i="4"/>
  <c r="AE41" i="4"/>
  <c r="AN40" i="4"/>
  <c r="AM40" i="4"/>
  <c r="AL40" i="4"/>
  <c r="AK40" i="4"/>
  <c r="AJ40" i="4"/>
  <c r="AI40" i="4"/>
  <c r="AG40" i="4"/>
  <c r="AF40" i="4"/>
  <c r="AE40" i="4"/>
  <c r="AN39" i="4"/>
  <c r="AM39" i="4"/>
  <c r="AL39" i="4"/>
  <c r="AK39" i="4"/>
  <c r="AJ39" i="4"/>
  <c r="AI39" i="4"/>
  <c r="AG39" i="4"/>
  <c r="AF39" i="4"/>
  <c r="AE39" i="4"/>
  <c r="AN38" i="4"/>
  <c r="AM38" i="4"/>
  <c r="AL38" i="4"/>
  <c r="AK38" i="4"/>
  <c r="AJ38" i="4"/>
  <c r="AI38" i="4"/>
  <c r="AG38" i="4"/>
  <c r="AF38" i="4"/>
  <c r="AE38" i="4"/>
  <c r="AN37" i="4"/>
  <c r="AM37" i="4"/>
  <c r="AL37" i="4"/>
  <c r="AK37" i="4"/>
  <c r="AJ37" i="4"/>
  <c r="AI37" i="4"/>
  <c r="AG37" i="4"/>
  <c r="AF37" i="4"/>
  <c r="AE37" i="4"/>
  <c r="AN36" i="4"/>
  <c r="AM36" i="4"/>
  <c r="AL36" i="4"/>
  <c r="AK36" i="4"/>
  <c r="AJ36" i="4"/>
  <c r="AI36" i="4"/>
  <c r="AG36" i="4"/>
  <c r="AF36" i="4"/>
  <c r="AE36" i="4"/>
  <c r="AN35" i="4"/>
  <c r="AM35" i="4"/>
  <c r="AL35" i="4"/>
  <c r="AK35" i="4"/>
  <c r="AJ35" i="4"/>
  <c r="AI35" i="4"/>
  <c r="AG35" i="4"/>
  <c r="AF35" i="4"/>
  <c r="AE35" i="4"/>
  <c r="AN34" i="4"/>
  <c r="AM34" i="4"/>
  <c r="AL34" i="4"/>
  <c r="AK34" i="4"/>
  <c r="AJ34" i="4"/>
  <c r="AI34" i="4"/>
  <c r="AG34" i="4"/>
  <c r="AF34" i="4"/>
  <c r="AE34" i="4"/>
  <c r="AN33" i="4"/>
  <c r="AM33" i="4"/>
  <c r="AL33" i="4"/>
  <c r="AK33" i="4"/>
  <c r="AJ33" i="4"/>
  <c r="AI33" i="4"/>
  <c r="AG33" i="4"/>
  <c r="AF33" i="4"/>
  <c r="AE33" i="4"/>
  <c r="AN32" i="4"/>
  <c r="AM32" i="4"/>
  <c r="AL32" i="4"/>
  <c r="AK32" i="4"/>
  <c r="AJ32" i="4"/>
  <c r="AI32" i="4"/>
  <c r="AG32" i="4"/>
  <c r="AF32" i="4"/>
  <c r="AE32" i="4"/>
  <c r="AN31" i="4"/>
  <c r="AM31" i="4"/>
  <c r="AL31" i="4"/>
  <c r="AK31" i="4"/>
  <c r="AJ31" i="4"/>
  <c r="AI31" i="4"/>
  <c r="AG31" i="4"/>
  <c r="AF31" i="4"/>
  <c r="AE31" i="4"/>
  <c r="AN30" i="4"/>
  <c r="AM30" i="4"/>
  <c r="AL30" i="4"/>
  <c r="AK30" i="4"/>
  <c r="AJ30" i="4"/>
  <c r="AI30" i="4"/>
  <c r="AG30" i="4"/>
  <c r="AF30" i="4"/>
  <c r="AE30" i="4"/>
  <c r="AN29" i="4"/>
  <c r="AM29" i="4"/>
  <c r="AL29" i="4"/>
  <c r="AK29" i="4"/>
  <c r="AJ29" i="4"/>
  <c r="AI29" i="4"/>
  <c r="AG29" i="4"/>
  <c r="AF29" i="4"/>
  <c r="AE29" i="4"/>
  <c r="AN28" i="4"/>
  <c r="AM28" i="4"/>
  <c r="AL28" i="4"/>
  <c r="AK28" i="4"/>
  <c r="AJ28" i="4"/>
  <c r="AI28" i="4"/>
  <c r="AG28" i="4"/>
  <c r="AF28" i="4"/>
  <c r="AE28" i="4"/>
  <c r="AN27" i="4"/>
  <c r="AM27" i="4"/>
  <c r="AL27" i="4"/>
  <c r="AK27" i="4"/>
  <c r="AJ27" i="4"/>
  <c r="AI27" i="4"/>
  <c r="AG27" i="4"/>
  <c r="AF27" i="4"/>
  <c r="AE27" i="4"/>
  <c r="AN26" i="4"/>
  <c r="AM26" i="4"/>
  <c r="AL26" i="4"/>
  <c r="AK26" i="4"/>
  <c r="AJ26" i="4"/>
  <c r="AI26" i="4"/>
  <c r="AG26" i="4"/>
  <c r="AF26" i="4"/>
  <c r="AE26" i="4"/>
  <c r="AN25" i="4"/>
  <c r="AM25" i="4"/>
  <c r="AL25" i="4"/>
  <c r="AK25" i="4"/>
  <c r="AJ25" i="4"/>
  <c r="AI25" i="4"/>
  <c r="AG25" i="4"/>
  <c r="AF25" i="4"/>
  <c r="AE25" i="4"/>
  <c r="AN24" i="4"/>
  <c r="AM24" i="4"/>
  <c r="AL24" i="4"/>
  <c r="AK24" i="4"/>
  <c r="AJ24" i="4"/>
  <c r="AI24" i="4"/>
  <c r="AG24" i="4"/>
  <c r="AF24" i="4"/>
  <c r="AE24" i="4"/>
  <c r="AN23" i="4"/>
  <c r="AM23" i="4"/>
  <c r="AL23" i="4"/>
  <c r="AK23" i="4"/>
  <c r="AJ23" i="4"/>
  <c r="AI23" i="4"/>
  <c r="AG23" i="4"/>
  <c r="AF23" i="4"/>
  <c r="AE23" i="4"/>
  <c r="AN22" i="4"/>
  <c r="AM22" i="4"/>
  <c r="AL22" i="4"/>
  <c r="AK22" i="4"/>
  <c r="AJ22" i="4"/>
  <c r="AI22" i="4"/>
  <c r="AG22" i="4"/>
  <c r="AF22" i="4"/>
  <c r="AE22" i="4"/>
  <c r="AN21" i="4"/>
  <c r="AM21" i="4"/>
  <c r="AL21" i="4"/>
  <c r="AK21" i="4"/>
  <c r="AJ21" i="4"/>
  <c r="AI21" i="4"/>
  <c r="AG21" i="4"/>
  <c r="AF21" i="4"/>
  <c r="AE21" i="4"/>
  <c r="AN20" i="4"/>
  <c r="AM20" i="4"/>
  <c r="AL20" i="4"/>
  <c r="AK20" i="4"/>
  <c r="AJ20" i="4"/>
  <c r="AI20" i="4"/>
  <c r="AG20" i="4"/>
  <c r="AF20" i="4"/>
  <c r="AE20" i="4"/>
  <c r="AN19" i="4"/>
  <c r="AM19" i="4"/>
  <c r="AL19" i="4"/>
  <c r="AK19" i="4"/>
  <c r="AJ19" i="4"/>
  <c r="AI19" i="4"/>
  <c r="AG19" i="4"/>
  <c r="AF19" i="4"/>
  <c r="AE19" i="4"/>
  <c r="AN18" i="4"/>
  <c r="AM18" i="4"/>
  <c r="AL18" i="4"/>
  <c r="AK18" i="4"/>
  <c r="AJ18" i="4"/>
  <c r="AI18" i="4"/>
  <c r="AG18" i="4"/>
  <c r="AF18" i="4"/>
  <c r="AE18" i="4"/>
  <c r="AN17" i="4"/>
  <c r="AM17" i="4"/>
  <c r="AL17" i="4"/>
  <c r="AK17" i="4"/>
  <c r="AJ17" i="4"/>
  <c r="AI17" i="4"/>
  <c r="AG17" i="4"/>
  <c r="AF17" i="4"/>
  <c r="AE17" i="4"/>
  <c r="AN16" i="4"/>
  <c r="AM16" i="4"/>
  <c r="AL16" i="4"/>
  <c r="AK16" i="4"/>
  <c r="AJ16" i="4"/>
  <c r="AI16" i="4"/>
  <c r="AG16" i="4"/>
  <c r="AF16" i="4"/>
  <c r="AE16" i="4"/>
  <c r="AN15" i="4"/>
  <c r="AM15" i="4"/>
  <c r="AL15" i="4"/>
  <c r="AK15" i="4"/>
  <c r="AJ15" i="4"/>
  <c r="AI15" i="4"/>
  <c r="AG15" i="4"/>
  <c r="AF15" i="4"/>
  <c r="AE15" i="4"/>
  <c r="AN14" i="4"/>
  <c r="AM14" i="4"/>
  <c r="AL14" i="4"/>
  <c r="AK14" i="4"/>
  <c r="AJ14" i="4"/>
  <c r="AI14" i="4"/>
  <c r="AG14" i="4"/>
  <c r="AF14" i="4"/>
  <c r="AE14" i="4"/>
  <c r="AN13" i="4"/>
  <c r="AM13" i="4"/>
  <c r="AL13" i="4"/>
  <c r="AK13" i="4"/>
  <c r="AJ13" i="4"/>
  <c r="AI13" i="4"/>
  <c r="AG13" i="4"/>
  <c r="AF13" i="4"/>
  <c r="AE13" i="4"/>
  <c r="AN12" i="4"/>
  <c r="AM12" i="4"/>
  <c r="AL12" i="4"/>
  <c r="AK12" i="4"/>
  <c r="AJ12" i="4"/>
  <c r="AI12" i="4"/>
  <c r="AG12" i="4"/>
  <c r="AF12" i="4"/>
  <c r="AE12" i="4"/>
  <c r="AN11" i="4"/>
  <c r="AM11" i="4"/>
  <c r="AL11" i="4"/>
  <c r="AK11" i="4"/>
  <c r="AJ11" i="4"/>
  <c r="AI11" i="4"/>
  <c r="AG11" i="4"/>
  <c r="AF11" i="4"/>
  <c r="AE11" i="4"/>
  <c r="AN10" i="4"/>
  <c r="AM10" i="4"/>
  <c r="AL10" i="4"/>
  <c r="AK10" i="4"/>
  <c r="AJ10" i="4"/>
  <c r="AI10" i="4"/>
  <c r="AG10" i="4"/>
  <c r="AF10" i="4"/>
  <c r="AE10" i="4"/>
  <c r="AN9" i="4"/>
  <c r="AM9" i="4"/>
  <c r="AL9" i="4"/>
  <c r="AK9" i="4"/>
  <c r="AJ9" i="4"/>
  <c r="AI9" i="4"/>
  <c r="AG9" i="4"/>
  <c r="AF9" i="4"/>
  <c r="AE9" i="4"/>
  <c r="AN8" i="4"/>
  <c r="AM8" i="4"/>
  <c r="AL8" i="4"/>
  <c r="AK8" i="4"/>
  <c r="AJ8" i="4"/>
  <c r="AI8" i="4"/>
  <c r="AG8" i="4"/>
  <c r="AF8" i="4"/>
  <c r="AE8" i="4"/>
  <c r="AN7" i="4"/>
  <c r="AM7" i="4"/>
  <c r="AL7" i="4"/>
  <c r="AK7" i="4"/>
  <c r="AJ7" i="4"/>
  <c r="AI7" i="4"/>
  <c r="AG7" i="4"/>
  <c r="AF7" i="4"/>
  <c r="AE7" i="4"/>
  <c r="AN6" i="4"/>
  <c r="AM6" i="4"/>
  <c r="AL6" i="4"/>
  <c r="AK6" i="4"/>
  <c r="AJ6" i="4"/>
  <c r="AI6" i="4"/>
  <c r="AG6" i="4"/>
  <c r="AF6" i="4"/>
  <c r="AE6" i="4"/>
  <c r="AN5" i="4"/>
  <c r="AM5" i="4"/>
  <c r="AL5" i="4"/>
  <c r="AK5" i="4"/>
  <c r="AJ5" i="4"/>
  <c r="AI5" i="4"/>
  <c r="AG5" i="4"/>
  <c r="AF5" i="4"/>
  <c r="AE5" i="4"/>
  <c r="AN4" i="4"/>
  <c r="AM4" i="4"/>
  <c r="AL4" i="4"/>
  <c r="AK4" i="4"/>
  <c r="AJ4" i="4"/>
  <c r="AI4" i="4"/>
  <c r="AG4" i="4"/>
  <c r="AF4" i="4"/>
  <c r="AE4" i="4"/>
  <c r="AN3" i="4"/>
  <c r="AM3" i="4"/>
  <c r="AL3" i="4"/>
  <c r="AK3" i="4"/>
  <c r="AJ3" i="4"/>
  <c r="AI3" i="4"/>
  <c r="AG3" i="4"/>
  <c r="AF3" i="4"/>
  <c r="AE3" i="4"/>
  <c r="AN2" i="4"/>
  <c r="AM2" i="4"/>
  <c r="AL2" i="4"/>
  <c r="AK2" i="4"/>
  <c r="AJ2" i="4"/>
  <c r="AI2" i="4"/>
  <c r="AG2" i="4"/>
  <c r="AF2" i="4"/>
  <c r="AE2" i="4"/>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2" i="1"/>
  <c r="D264" i="1"/>
  <c r="AF264" i="1" s="1"/>
  <c r="V264" i="1"/>
  <c r="AH264" i="1" s="1"/>
  <c r="V265" i="1"/>
  <c r="AH265" i="1" s="1"/>
  <c r="V263" i="1"/>
  <c r="AH263" i="1" s="1"/>
  <c r="AD261" i="1"/>
  <c r="AD264" i="1" s="1"/>
  <c r="AD262" i="1"/>
  <c r="AD265" i="1" s="1"/>
  <c r="AD260" i="1"/>
  <c r="AD263" i="1" s="1"/>
  <c r="AC261" i="1"/>
  <c r="AC264" i="1" s="1"/>
  <c r="AC262" i="1"/>
  <c r="AC265" i="1" s="1"/>
  <c r="AC260" i="1"/>
  <c r="AC263" i="1" s="1"/>
  <c r="AB261" i="1"/>
  <c r="AB264" i="1" s="1"/>
  <c r="AB262" i="1"/>
  <c r="AB265" i="1" s="1"/>
  <c r="AB260" i="1"/>
  <c r="AB263" i="1" s="1"/>
  <c r="AA261" i="1"/>
  <c r="AA264" i="1" s="1"/>
  <c r="AG264" i="1" s="1"/>
  <c r="AA262" i="1"/>
  <c r="AA265" i="1" s="1"/>
  <c r="AG265" i="1" s="1"/>
  <c r="AA260" i="1"/>
  <c r="AA263" i="1" s="1"/>
  <c r="AG263" i="1" s="1"/>
  <c r="Z261" i="1"/>
  <c r="Z264" i="1" s="1"/>
  <c r="AL264" i="1" s="1"/>
  <c r="Z262" i="1"/>
  <c r="Z265" i="1" s="1"/>
  <c r="AL265" i="1" s="1"/>
  <c r="Z260" i="1"/>
  <c r="Z263" i="1" s="1"/>
  <c r="AL263" i="1" s="1"/>
  <c r="Y261" i="1"/>
  <c r="AJ261" i="1" s="1"/>
  <c r="Y262" i="1"/>
  <c r="AJ262" i="1" s="1"/>
  <c r="Y263" i="1"/>
  <c r="AJ263" i="1" s="1"/>
  <c r="Y264" i="1"/>
  <c r="AJ264" i="1" s="1"/>
  <c r="Y265" i="1"/>
  <c r="AJ265" i="1" s="1"/>
  <c r="Y260" i="1"/>
  <c r="AJ260" i="1" s="1"/>
  <c r="X264" i="1"/>
  <c r="AI264" i="1" s="1"/>
  <c r="X265" i="1"/>
  <c r="AI265" i="1" s="1"/>
  <c r="X263" i="1"/>
  <c r="AI263" i="1" s="1"/>
  <c r="W261" i="1"/>
  <c r="W264" i="1" s="1"/>
  <c r="W262" i="1"/>
  <c r="W265" i="1" s="1"/>
  <c r="W260" i="1"/>
  <c r="W263" i="1" s="1"/>
  <c r="U261" i="1"/>
  <c r="U264" i="1" s="1"/>
  <c r="U262" i="1"/>
  <c r="U265" i="1" s="1"/>
  <c r="U260" i="1"/>
  <c r="U263" i="1" s="1"/>
  <c r="T261" i="1"/>
  <c r="T264" i="1" s="1"/>
  <c r="T262" i="1"/>
  <c r="T265" i="1" s="1"/>
  <c r="T260" i="1"/>
  <c r="T263" i="1" s="1"/>
  <c r="S261" i="1"/>
  <c r="S264" i="1" s="1"/>
  <c r="S262" i="1"/>
  <c r="S265" i="1" s="1"/>
  <c r="S260" i="1"/>
  <c r="S263" i="1" s="1"/>
  <c r="R261" i="1"/>
  <c r="R264" i="1" s="1"/>
  <c r="AM264" i="1" s="1"/>
  <c r="R262" i="1"/>
  <c r="R265" i="1" s="1"/>
  <c r="AM265" i="1" s="1"/>
  <c r="R260" i="1"/>
  <c r="R263" i="1" s="1"/>
  <c r="AM263" i="1" s="1"/>
  <c r="Q264" i="1"/>
  <c r="AE264" i="1" s="1"/>
  <c r="Q265" i="1"/>
  <c r="AE265" i="1" s="1"/>
  <c r="Q263" i="1"/>
  <c r="AE263" i="1" s="1"/>
  <c r="P261" i="1"/>
  <c r="P264" i="1" s="1"/>
  <c r="P262" i="1"/>
  <c r="P265" i="1" s="1"/>
  <c r="P260" i="1"/>
  <c r="P263" i="1" s="1"/>
  <c r="O264" i="1"/>
  <c r="O265" i="1"/>
  <c r="O263" i="1"/>
  <c r="N264" i="1"/>
  <c r="N265" i="1"/>
  <c r="N263" i="1"/>
  <c r="M264" i="1"/>
  <c r="M265" i="1"/>
  <c r="M263" i="1"/>
  <c r="L264" i="1"/>
  <c r="L265" i="1"/>
  <c r="L263" i="1"/>
  <c r="K264" i="1"/>
  <c r="K265" i="1"/>
  <c r="K263" i="1"/>
  <c r="J263" i="1"/>
  <c r="J264" i="1"/>
  <c r="J265" i="1"/>
  <c r="I264" i="1"/>
  <c r="I265" i="1"/>
  <c r="I263" i="1"/>
  <c r="H264" i="1"/>
  <c r="H265" i="1"/>
  <c r="H263" i="1"/>
  <c r="G264" i="1"/>
  <c r="G265" i="1"/>
  <c r="G263" i="1"/>
  <c r="F262" i="1"/>
  <c r="F265" i="1" s="1"/>
  <c r="F261" i="1"/>
  <c r="F264" i="1" s="1"/>
  <c r="F260" i="1"/>
  <c r="F263" i="1" s="1"/>
  <c r="E265" i="1"/>
  <c r="E264" i="1"/>
  <c r="E263" i="1"/>
  <c r="AG378" i="1" l="1"/>
  <c r="AI377" i="1"/>
  <c r="AI376" i="1"/>
  <c r="AO88" i="4"/>
  <c r="AO272" i="4"/>
  <c r="AO135" i="4"/>
  <c r="AO228" i="4"/>
  <c r="AO2" i="4"/>
  <c r="AK263" i="4"/>
  <c r="AO294" i="4"/>
  <c r="AO12" i="4"/>
  <c r="AO244" i="4"/>
  <c r="AO246" i="4"/>
  <c r="AN263" i="4"/>
  <c r="AO266" i="4"/>
  <c r="AO284" i="4"/>
  <c r="AO66" i="4"/>
  <c r="AO165" i="4"/>
  <c r="AO174" i="4"/>
  <c r="AO120" i="4"/>
  <c r="AO331" i="4"/>
  <c r="AO28" i="4"/>
  <c r="AO30" i="4"/>
  <c r="AO107" i="4"/>
  <c r="AO111" i="4"/>
  <c r="AO122" i="4"/>
  <c r="AO256" i="4"/>
  <c r="AO322" i="4"/>
  <c r="AO45" i="4"/>
  <c r="AO56" i="4"/>
  <c r="AO218" i="4"/>
  <c r="AN261" i="4"/>
  <c r="AO271" i="4"/>
  <c r="AO13" i="4"/>
  <c r="AO230" i="4"/>
  <c r="AO200" i="4"/>
  <c r="AO33" i="4"/>
  <c r="Z263" i="4"/>
  <c r="AL263" i="4" s="1"/>
  <c r="AO92" i="4"/>
  <c r="AO188" i="4"/>
  <c r="AM262" i="4"/>
  <c r="AO71" i="4"/>
  <c r="AC264" i="4"/>
  <c r="AN264" i="4" s="1"/>
  <c r="AO327" i="4"/>
  <c r="AO14" i="4"/>
  <c r="AO220" i="4"/>
  <c r="AO229" i="4"/>
  <c r="AG260" i="4"/>
  <c r="AO125" i="4"/>
  <c r="AO179" i="4"/>
  <c r="AO197" i="4"/>
  <c r="AO128" i="4"/>
  <c r="AO154" i="4"/>
  <c r="AO190" i="4"/>
  <c r="AO23" i="4"/>
  <c r="AO39" i="4"/>
  <c r="AO180" i="4"/>
  <c r="AO212" i="4"/>
  <c r="AO239" i="4"/>
  <c r="AL261" i="4"/>
  <c r="AO48" i="4"/>
  <c r="AO69" i="4"/>
  <c r="AO130" i="4"/>
  <c r="AO205" i="4"/>
  <c r="AO257" i="4"/>
  <c r="AO317" i="4"/>
  <c r="AO334" i="4"/>
  <c r="AO41" i="4"/>
  <c r="AO57" i="4"/>
  <c r="AO77" i="4"/>
  <c r="AO87" i="4"/>
  <c r="AO99" i="4"/>
  <c r="AO116" i="4"/>
  <c r="AO164" i="4"/>
  <c r="AO166" i="4"/>
  <c r="AO176" i="4"/>
  <c r="AO251" i="4"/>
  <c r="AO318" i="4"/>
  <c r="AO100" i="4"/>
  <c r="AO223" i="4"/>
  <c r="AO250" i="4"/>
  <c r="AK264" i="4"/>
  <c r="AO332" i="4"/>
  <c r="AO350" i="4"/>
  <c r="AO18" i="4"/>
  <c r="AO109" i="4"/>
  <c r="AO234" i="4"/>
  <c r="AO43" i="4"/>
  <c r="AO50" i="4"/>
  <c r="AO93" i="4"/>
  <c r="AO102" i="4"/>
  <c r="AO152" i="4"/>
  <c r="AO153" i="4"/>
  <c r="AO187" i="4"/>
  <c r="AO277" i="4"/>
  <c r="AO286" i="4"/>
  <c r="AO311" i="4"/>
  <c r="AO330" i="4"/>
  <c r="AO343" i="4"/>
  <c r="AO348" i="4"/>
  <c r="AO361" i="4"/>
  <c r="AO314" i="4"/>
  <c r="AO353" i="4"/>
  <c r="AO132" i="4"/>
  <c r="AO175" i="4"/>
  <c r="AO325" i="4"/>
  <c r="AO345" i="4"/>
  <c r="AO7" i="4"/>
  <c r="AO34" i="4"/>
  <c r="AO51" i="4"/>
  <c r="AO94" i="4"/>
  <c r="AO192" i="4"/>
  <c r="AO312" i="4"/>
  <c r="AO9" i="4"/>
  <c r="AO74" i="4"/>
  <c r="AO82" i="4"/>
  <c r="AO123" i="4"/>
  <c r="AO141" i="4"/>
  <c r="AO170" i="4"/>
  <c r="AO186" i="4"/>
  <c r="AO225" i="4"/>
  <c r="AK262" i="4"/>
  <c r="AO295" i="4"/>
  <c r="AO304" i="4"/>
  <c r="AO313" i="4"/>
  <c r="AO148" i="4"/>
  <c r="AO289" i="4"/>
  <c r="AO320" i="4"/>
  <c r="AO358" i="4"/>
  <c r="AO79" i="4"/>
  <c r="AO86" i="4"/>
  <c r="AO147" i="4"/>
  <c r="AO156" i="4"/>
  <c r="AO177" i="4"/>
  <c r="AO254" i="4"/>
  <c r="AO288" i="4"/>
  <c r="AO307" i="4"/>
  <c r="AO333" i="4"/>
  <c r="AO338" i="4"/>
  <c r="AO351" i="4"/>
  <c r="AO356" i="4"/>
  <c r="AO369" i="4"/>
  <c r="AO61" i="4"/>
  <c r="AO105" i="4"/>
  <c r="AO368" i="4"/>
  <c r="AO24" i="4"/>
  <c r="AO215" i="4"/>
  <c r="AO240" i="4"/>
  <c r="AO281" i="4"/>
  <c r="AO308" i="4"/>
  <c r="AO136" i="4"/>
  <c r="AO207" i="4"/>
  <c r="AO299" i="4"/>
  <c r="AO363" i="4"/>
  <c r="AO26" i="4"/>
  <c r="AO68" i="4"/>
  <c r="AO159" i="4"/>
  <c r="AO208" i="4"/>
  <c r="AO224" i="4"/>
  <c r="AO233" i="4"/>
  <c r="AO267" i="4"/>
  <c r="AO8" i="4"/>
  <c r="AO15" i="4"/>
  <c r="AO67" i="4"/>
  <c r="AO84" i="4"/>
  <c r="AO158" i="4"/>
  <c r="AO202" i="4"/>
  <c r="AO326" i="4"/>
  <c r="AO328" i="4"/>
  <c r="AO335" i="4"/>
  <c r="AO364" i="4"/>
  <c r="AO20" i="4"/>
  <c r="AO133" i="4"/>
  <c r="AO143" i="4"/>
  <c r="AO185" i="4"/>
  <c r="AO201" i="4"/>
  <c r="AO210" i="4"/>
  <c r="AO231" i="4"/>
  <c r="AO236" i="4"/>
  <c r="AO249" i="4"/>
  <c r="AK260" i="4"/>
  <c r="AG261" i="4"/>
  <c r="AO276" i="4"/>
  <c r="AO25" i="4"/>
  <c r="AO72" i="4"/>
  <c r="AO182" i="4"/>
  <c r="AO241" i="4"/>
  <c r="AO38" i="4"/>
  <c r="AO63" i="4"/>
  <c r="AO115" i="4"/>
  <c r="AO131" i="4"/>
  <c r="AO17" i="4"/>
  <c r="AO58" i="4"/>
  <c r="AO371" i="4"/>
  <c r="AO3" i="4"/>
  <c r="AO35" i="4"/>
  <c r="AO53" i="4"/>
  <c r="AO126" i="4"/>
  <c r="AO142" i="4"/>
  <c r="AO169" i="4"/>
  <c r="AO219" i="4"/>
  <c r="AO287" i="4"/>
  <c r="AO78" i="4"/>
  <c r="AO98" i="4"/>
  <c r="AO110" i="4"/>
  <c r="AO112" i="4"/>
  <c r="AN260" i="4"/>
  <c r="AG262" i="4"/>
  <c r="AO337" i="4"/>
  <c r="AO340" i="4"/>
  <c r="AO373" i="4"/>
  <c r="AO163" i="4"/>
  <c r="AO149" i="4"/>
  <c r="AO195" i="4"/>
  <c r="AO362" i="4"/>
  <c r="AO10" i="4"/>
  <c r="AO40" i="4"/>
  <c r="AO46" i="4"/>
  <c r="AO62" i="4"/>
  <c r="AO137" i="4"/>
  <c r="AO138" i="4"/>
  <c r="AO196" i="4"/>
  <c r="AO213" i="4"/>
  <c r="AO283" i="4"/>
  <c r="AO341" i="4"/>
  <c r="AO359" i="4"/>
  <c r="AO366" i="4"/>
  <c r="AO129" i="4"/>
  <c r="AO291" i="4"/>
  <c r="AO344" i="4"/>
  <c r="AO16" i="4"/>
  <c r="AO232" i="4"/>
  <c r="AO270" i="4"/>
  <c r="AO44" i="4"/>
  <c r="AO70" i="4"/>
  <c r="AO178" i="4"/>
  <c r="AO301" i="4"/>
  <c r="AO4" i="4"/>
  <c r="AO89" i="4"/>
  <c r="AO124" i="4"/>
  <c r="AO206" i="4"/>
  <c r="AO255" i="4"/>
  <c r="AM260" i="4"/>
  <c r="AO293" i="4"/>
  <c r="AO296" i="4"/>
  <c r="AO300" i="4"/>
  <c r="AO316" i="4"/>
  <c r="AO319" i="4"/>
  <c r="AO323" i="4"/>
  <c r="AO346" i="4"/>
  <c r="AO367" i="4"/>
  <c r="AO32" i="4"/>
  <c r="AO117" i="4"/>
  <c r="AO171" i="4"/>
  <c r="AO101" i="4"/>
  <c r="AO83" i="4"/>
  <c r="AO161" i="4"/>
  <c r="AO194" i="4"/>
  <c r="AO248" i="4"/>
  <c r="AO355" i="4"/>
  <c r="AO357" i="4"/>
  <c r="AO22" i="4"/>
  <c r="AO27" i="4"/>
  <c r="AO29" i="4"/>
  <c r="AO121" i="4"/>
  <c r="AO140" i="4"/>
  <c r="AO238" i="4"/>
  <c r="AO243" i="4"/>
  <c r="AO245" i="4"/>
  <c r="AO290" i="4"/>
  <c r="AO55" i="4"/>
  <c r="AO76" i="4"/>
  <c r="AO81" i="4"/>
  <c r="AO104" i="4"/>
  <c r="AO184" i="4"/>
  <c r="AO189" i="4"/>
  <c r="AO191" i="4"/>
  <c r="AO203" i="4"/>
  <c r="AO217" i="4"/>
  <c r="AO252" i="4"/>
  <c r="AO259" i="4"/>
  <c r="AO302" i="4"/>
  <c r="AO309" i="4"/>
  <c r="AO352" i="4"/>
  <c r="AO247" i="4"/>
  <c r="AO306" i="4"/>
  <c r="AO329" i="4"/>
  <c r="AO97" i="4"/>
  <c r="AO273" i="4"/>
  <c r="AO151" i="4"/>
  <c r="W265" i="4"/>
  <c r="AN265" i="4" s="1"/>
  <c r="AN262" i="4"/>
  <c r="AI264" i="4"/>
  <c r="AO52" i="4"/>
  <c r="AO80" i="4"/>
  <c r="AO214" i="4"/>
  <c r="AO347" i="4"/>
  <c r="AO370" i="4"/>
  <c r="AO19" i="4"/>
  <c r="AO106" i="4"/>
  <c r="AO134" i="4"/>
  <c r="AO160" i="4"/>
  <c r="AO235" i="4"/>
  <c r="AO268" i="4"/>
  <c r="AO275" i="4"/>
  <c r="AO278" i="4"/>
  <c r="AO282" i="4"/>
  <c r="AO349" i="4"/>
  <c r="AO21" i="4"/>
  <c r="AO64" i="4"/>
  <c r="AO73" i="4"/>
  <c r="AO181" i="4"/>
  <c r="AO226" i="4"/>
  <c r="AO237" i="4"/>
  <c r="AO75" i="4"/>
  <c r="AO118" i="4"/>
  <c r="AO127" i="4"/>
  <c r="AO146" i="4"/>
  <c r="AO172" i="4"/>
  <c r="AO183" i="4"/>
  <c r="U265" i="4"/>
  <c r="AK265" i="4" s="1"/>
  <c r="AO305" i="4"/>
  <c r="AO31" i="4"/>
  <c r="AO36" i="4"/>
  <c r="AO85" i="4"/>
  <c r="AO90" i="4"/>
  <c r="AO139" i="4"/>
  <c r="AO144" i="4"/>
  <c r="AO193" i="4"/>
  <c r="AO198" i="4"/>
  <c r="AO242" i="4"/>
  <c r="AM261" i="4"/>
  <c r="AO354" i="4"/>
  <c r="AL262" i="4"/>
  <c r="AO279" i="4"/>
  <c r="AO342" i="4"/>
  <c r="AO269" i="4"/>
  <c r="AO274" i="4"/>
  <c r="AO303" i="4"/>
  <c r="AO6" i="4"/>
  <c r="AO11" i="4"/>
  <c r="AO60" i="4"/>
  <c r="AO65" i="4"/>
  <c r="AO114" i="4"/>
  <c r="AO119" i="4"/>
  <c r="AO168" i="4"/>
  <c r="AO173" i="4"/>
  <c r="AO222" i="4"/>
  <c r="AO227" i="4"/>
  <c r="AK261" i="4"/>
  <c r="AO298" i="4"/>
  <c r="AO315" i="4"/>
  <c r="AI263" i="4"/>
  <c r="AO310" i="4"/>
  <c r="AO339" i="4"/>
  <c r="AO258" i="4"/>
  <c r="AO336" i="4"/>
  <c r="AO42" i="4"/>
  <c r="AO47" i="4"/>
  <c r="AO96" i="4"/>
  <c r="AO95" i="4"/>
  <c r="AO150" i="4"/>
  <c r="AO155" i="4"/>
  <c r="AO204" i="4"/>
  <c r="AO209" i="4"/>
  <c r="AO324" i="4"/>
  <c r="AO365" i="4"/>
  <c r="AO253" i="4"/>
  <c r="AO285" i="4"/>
  <c r="AO372" i="4"/>
  <c r="AO5" i="4"/>
  <c r="AO37" i="4"/>
  <c r="AO59" i="4"/>
  <c r="AO91" i="4"/>
  <c r="AO113" i="4"/>
  <c r="AO145" i="4"/>
  <c r="AO167" i="4"/>
  <c r="AO199" i="4"/>
  <c r="AO221" i="4"/>
  <c r="AO280" i="4"/>
  <c r="AO297" i="4"/>
  <c r="AO360" i="4"/>
  <c r="AO49" i="4"/>
  <c r="AO54" i="4"/>
  <c r="AO103" i="4"/>
  <c r="AO108" i="4"/>
  <c r="AO157" i="4"/>
  <c r="AO162" i="4"/>
  <c r="AO211" i="4"/>
  <c r="AO216" i="4"/>
  <c r="AO292" i="4"/>
  <c r="AO321" i="4"/>
  <c r="AF378" i="1"/>
  <c r="AH377" i="1"/>
  <c r="AJ377" i="1"/>
  <c r="AM377" i="1"/>
  <c r="AL378" i="1"/>
  <c r="AG376" i="1"/>
  <c r="AH378" i="1"/>
  <c r="AH376" i="1"/>
  <c r="AG377" i="1"/>
  <c r="AL377" i="1"/>
  <c r="AL376" i="1"/>
  <c r="AF377" i="1"/>
  <c r="AE378" i="1"/>
  <c r="AN378" i="1"/>
  <c r="AM378" i="1"/>
  <c r="AK378" i="1"/>
  <c r="AJ378" i="1"/>
  <c r="AI378" i="1"/>
  <c r="AK377" i="1"/>
  <c r="AN376" i="1"/>
  <c r="AM376" i="1"/>
  <c r="AK376" i="1"/>
  <c r="AJ376" i="1"/>
  <c r="AE377" i="1"/>
  <c r="AN377" i="1"/>
  <c r="AO371" i="1"/>
  <c r="AO299" i="1"/>
  <c r="AO206" i="1"/>
  <c r="AO26" i="1"/>
  <c r="AO353" i="1"/>
  <c r="AO335" i="1"/>
  <c r="AO317" i="1"/>
  <c r="AO281" i="1"/>
  <c r="AO242" i="1"/>
  <c r="AO224" i="1"/>
  <c r="AO188" i="1"/>
  <c r="AO170" i="1"/>
  <c r="AO152" i="1"/>
  <c r="AO134" i="1"/>
  <c r="AO116" i="1"/>
  <c r="AO98" i="1"/>
  <c r="AO80" i="1"/>
  <c r="AO62" i="1"/>
  <c r="AO44" i="1"/>
  <c r="AO8" i="1"/>
  <c r="AO298" i="1"/>
  <c r="AO56" i="1"/>
  <c r="AO297" i="1"/>
  <c r="AO74" i="1"/>
  <c r="AO38" i="1"/>
  <c r="AO341" i="1"/>
  <c r="AO305" i="1"/>
  <c r="AO269" i="1"/>
  <c r="AO78" i="1"/>
  <c r="AO244" i="1"/>
  <c r="AO226" i="1"/>
  <c r="AO208" i="1"/>
  <c r="AO190" i="1"/>
  <c r="AO172" i="1"/>
  <c r="AO154" i="1"/>
  <c r="AO136" i="1"/>
  <c r="AO118" i="1"/>
  <c r="AO100" i="1"/>
  <c r="AO82" i="1"/>
  <c r="AO64" i="1"/>
  <c r="AO46" i="1"/>
  <c r="AO28" i="1"/>
  <c r="AO10" i="1"/>
  <c r="AO303" i="1"/>
  <c r="AO359" i="1"/>
  <c r="AO323" i="1"/>
  <c r="AO287" i="1"/>
  <c r="AO79" i="1"/>
  <c r="AO189" i="1"/>
  <c r="AO171" i="1"/>
  <c r="AO153" i="1"/>
  <c r="AO81" i="1"/>
  <c r="AO45" i="1"/>
  <c r="AO368" i="1"/>
  <c r="AO350" i="1"/>
  <c r="AO296" i="1"/>
  <c r="AO278" i="1"/>
  <c r="AO250" i="1"/>
  <c r="AO214" i="1"/>
  <c r="AO196" i="1"/>
  <c r="AO178" i="1"/>
  <c r="AO160" i="1"/>
  <c r="AO142" i="1"/>
  <c r="AO124" i="1"/>
  <c r="AO106" i="1"/>
  <c r="AO88" i="1"/>
  <c r="AO70" i="1"/>
  <c r="AO52" i="1"/>
  <c r="AO34" i="1"/>
  <c r="AO16" i="1"/>
  <c r="AO352" i="1"/>
  <c r="AO334" i="1"/>
  <c r="AO316" i="1"/>
  <c r="AO280" i="1"/>
  <c r="AO354" i="1"/>
  <c r="AO318" i="1"/>
  <c r="AO282" i="1"/>
  <c r="AO225" i="1"/>
  <c r="AO135" i="1"/>
  <c r="AO99" i="1"/>
  <c r="AO9" i="1"/>
  <c r="AO256" i="1"/>
  <c r="AO202" i="1"/>
  <c r="AO166" i="1"/>
  <c r="AO130" i="1"/>
  <c r="AO76" i="1"/>
  <c r="AO22" i="1"/>
  <c r="AO358" i="1"/>
  <c r="AO322" i="1"/>
  <c r="AO286" i="1"/>
  <c r="AO249" i="1"/>
  <c r="AO195" i="1"/>
  <c r="AO159" i="1"/>
  <c r="AO87" i="1"/>
  <c r="AO33" i="1"/>
  <c r="AO333" i="1"/>
  <c r="AO279" i="1"/>
  <c r="AO348" i="1"/>
  <c r="AO312" i="1"/>
  <c r="AO276" i="1"/>
  <c r="AO237" i="1"/>
  <c r="AO201" i="1"/>
  <c r="AO165" i="1"/>
  <c r="AO129" i="1"/>
  <c r="AO93" i="1"/>
  <c r="AO75" i="1"/>
  <c r="AO39" i="1"/>
  <c r="AO3" i="1"/>
  <c r="AO339" i="1"/>
  <c r="AO267" i="1"/>
  <c r="AO365" i="1"/>
  <c r="AO329" i="1"/>
  <c r="AO275" i="1"/>
  <c r="AO236" i="1"/>
  <c r="AO200" i="1"/>
  <c r="AO164" i="1"/>
  <c r="AO128" i="1"/>
  <c r="AO92" i="1"/>
  <c r="AO232" i="1"/>
  <c r="AO372" i="1"/>
  <c r="AO336" i="1"/>
  <c r="AO300" i="1"/>
  <c r="AO243" i="1"/>
  <c r="AO207" i="1"/>
  <c r="AO117" i="1"/>
  <c r="AO63" i="1"/>
  <c r="AO27" i="1"/>
  <c r="AO238" i="1"/>
  <c r="AO220" i="1"/>
  <c r="AO184" i="1"/>
  <c r="AO148" i="1"/>
  <c r="AO94" i="1"/>
  <c r="AO58" i="1"/>
  <c r="AO40" i="1"/>
  <c r="AO4" i="1"/>
  <c r="AO340" i="1"/>
  <c r="AO304" i="1"/>
  <c r="AO268" i="1"/>
  <c r="AO213" i="1"/>
  <c r="AO177" i="1"/>
  <c r="AO141" i="1"/>
  <c r="AO69" i="1"/>
  <c r="AO15" i="1"/>
  <c r="AO351" i="1"/>
  <c r="AO315" i="1"/>
  <c r="AO366" i="1"/>
  <c r="AO330" i="1"/>
  <c r="AO294" i="1"/>
  <c r="AO255" i="1"/>
  <c r="AO219" i="1"/>
  <c r="AO183" i="1"/>
  <c r="AO147" i="1"/>
  <c r="AO111" i="1"/>
  <c r="AO57" i="1"/>
  <c r="AO21" i="1"/>
  <c r="AO357" i="1"/>
  <c r="AO321" i="1"/>
  <c r="AO285" i="1"/>
  <c r="AO347" i="1"/>
  <c r="AO311" i="1"/>
  <c r="AO293" i="1"/>
  <c r="AO254" i="1"/>
  <c r="AO218" i="1"/>
  <c r="AO182" i="1"/>
  <c r="AO146" i="1"/>
  <c r="AO110" i="1"/>
  <c r="AO360" i="1"/>
  <c r="AO342" i="1"/>
  <c r="AO324" i="1"/>
  <c r="AO306" i="1"/>
  <c r="AO288" i="1"/>
  <c r="AO270" i="1"/>
  <c r="AO231" i="1"/>
  <c r="AO123" i="1"/>
  <c r="AO105" i="1"/>
  <c r="AO51" i="1"/>
  <c r="AO369" i="1"/>
  <c r="AO257" i="1"/>
  <c r="AO239" i="1"/>
  <c r="AO221" i="1"/>
  <c r="AO203" i="1"/>
  <c r="AO185" i="1"/>
  <c r="AO167" i="1"/>
  <c r="AO149" i="1"/>
  <c r="AO131" i="1"/>
  <c r="AO113" i="1"/>
  <c r="AO95" i="1"/>
  <c r="AO77" i="1"/>
  <c r="AO59" i="1"/>
  <c r="AO41" i="1"/>
  <c r="AO23" i="1"/>
  <c r="AO5" i="1"/>
  <c r="AK264" i="1"/>
  <c r="AO370" i="1"/>
  <c r="AO356" i="1"/>
  <c r="AO194" i="1"/>
  <c r="AO309" i="1"/>
  <c r="AO252" i="1"/>
  <c r="AO198" i="1"/>
  <c r="AO126" i="1"/>
  <c r="AO36" i="1"/>
  <c r="AO210" i="1"/>
  <c r="AO48" i="1"/>
  <c r="AO222" i="1"/>
  <c r="AO168" i="1"/>
  <c r="AO114" i="1"/>
  <c r="AO24" i="1"/>
  <c r="AO362" i="1"/>
  <c r="AO344" i="1"/>
  <c r="AO326" i="1"/>
  <c r="AO308" i="1"/>
  <c r="AO290" i="1"/>
  <c r="AO272" i="1"/>
  <c r="AO251" i="1"/>
  <c r="AO233" i="1"/>
  <c r="AO215" i="1"/>
  <c r="AO197" i="1"/>
  <c r="AO179" i="1"/>
  <c r="AO161" i="1"/>
  <c r="AO143" i="1"/>
  <c r="AO125" i="1"/>
  <c r="AO107" i="1"/>
  <c r="AO89" i="1"/>
  <c r="AO71" i="1"/>
  <c r="AO53" i="1"/>
  <c r="AO35" i="1"/>
  <c r="AO17" i="1"/>
  <c r="AO20" i="1"/>
  <c r="AO2" i="1"/>
  <c r="AO338" i="1"/>
  <c r="AO320" i="1"/>
  <c r="AO302" i="1"/>
  <c r="AO284" i="1"/>
  <c r="AO266" i="1"/>
  <c r="AO248" i="1"/>
  <c r="AO230" i="1"/>
  <c r="AO212" i="1"/>
  <c r="AO176" i="1"/>
  <c r="AO158" i="1"/>
  <c r="AO140" i="1"/>
  <c r="AO122" i="1"/>
  <c r="AO104" i="1"/>
  <c r="AO86" i="1"/>
  <c r="AO68" i="1"/>
  <c r="AO50" i="1"/>
  <c r="AO32" i="1"/>
  <c r="AO14" i="1"/>
  <c r="AO332" i="1"/>
  <c r="AO314" i="1"/>
  <c r="AO259" i="1"/>
  <c r="AO241" i="1"/>
  <c r="AO223" i="1"/>
  <c r="AO205" i="1"/>
  <c r="AO187" i="1"/>
  <c r="AO169" i="1"/>
  <c r="AO151" i="1"/>
  <c r="AO133" i="1"/>
  <c r="AO115" i="1"/>
  <c r="AO97" i="1"/>
  <c r="AO61" i="1"/>
  <c r="AO43" i="1"/>
  <c r="AO25" i="1"/>
  <c r="AO7" i="1"/>
  <c r="AO363" i="1"/>
  <c r="AO345" i="1"/>
  <c r="AO327" i="1"/>
  <c r="AO291" i="1"/>
  <c r="AO273" i="1"/>
  <c r="AO234" i="1"/>
  <c r="AO216" i="1"/>
  <c r="AO180" i="1"/>
  <c r="AO162" i="1"/>
  <c r="AO144" i="1"/>
  <c r="AO108" i="1"/>
  <c r="AO90" i="1"/>
  <c r="AO72" i="1"/>
  <c r="AO54" i="1"/>
  <c r="AO18" i="1"/>
  <c r="AO246" i="1"/>
  <c r="AO228" i="1"/>
  <c r="AO192" i="1"/>
  <c r="AO174" i="1"/>
  <c r="AO156" i="1"/>
  <c r="AO138" i="1"/>
  <c r="AO120" i="1"/>
  <c r="AO102" i="1"/>
  <c r="AO84" i="1"/>
  <c r="AO66" i="1"/>
  <c r="AO30" i="1"/>
  <c r="AO12" i="1"/>
  <c r="AO258" i="1"/>
  <c r="AO240" i="1"/>
  <c r="AO204" i="1"/>
  <c r="AO186" i="1"/>
  <c r="AO150" i="1"/>
  <c r="AO132" i="1"/>
  <c r="AO96" i="1"/>
  <c r="AO60" i="1"/>
  <c r="AO42" i="1"/>
  <c r="AO6" i="1"/>
  <c r="AO361" i="1"/>
  <c r="AO343" i="1"/>
  <c r="AO325" i="1"/>
  <c r="AO307" i="1"/>
  <c r="AO289" i="1"/>
  <c r="AO271" i="1"/>
  <c r="AO364" i="1"/>
  <c r="AO346" i="1"/>
  <c r="AO328" i="1"/>
  <c r="AO310" i="1"/>
  <c r="AO292" i="1"/>
  <c r="AO274" i="1"/>
  <c r="AO253" i="1"/>
  <c r="AO235" i="1"/>
  <c r="AO217" i="1"/>
  <c r="AO199" i="1"/>
  <c r="AO181" i="1"/>
  <c r="AO163" i="1"/>
  <c r="AO145" i="1"/>
  <c r="AO127" i="1"/>
  <c r="AO109" i="1"/>
  <c r="AO91" i="1"/>
  <c r="AO73" i="1"/>
  <c r="AO55" i="1"/>
  <c r="AO37" i="1"/>
  <c r="AO19" i="1"/>
  <c r="AO373" i="1"/>
  <c r="AO355" i="1"/>
  <c r="AO337" i="1"/>
  <c r="AO319" i="1"/>
  <c r="AO301" i="1"/>
  <c r="AO283" i="1"/>
  <c r="AO247" i="1"/>
  <c r="AO229" i="1"/>
  <c r="AO211" i="1"/>
  <c r="AO193" i="1"/>
  <c r="AO175" i="1"/>
  <c r="AO157" i="1"/>
  <c r="AO139" i="1"/>
  <c r="AO121" i="1"/>
  <c r="AO103" i="1"/>
  <c r="AO85" i="1"/>
  <c r="AO67" i="1"/>
  <c r="AO49" i="1"/>
  <c r="AO31" i="1"/>
  <c r="AO13" i="1"/>
  <c r="AO367" i="1"/>
  <c r="AO349" i="1"/>
  <c r="AO331" i="1"/>
  <c r="AO313" i="1"/>
  <c r="AO295" i="1"/>
  <c r="AO277" i="1"/>
  <c r="AO112" i="1"/>
  <c r="AO245" i="1"/>
  <c r="AO227" i="1"/>
  <c r="AO209" i="1"/>
  <c r="AO191" i="1"/>
  <c r="AO173" i="1"/>
  <c r="AO155" i="1"/>
  <c r="AO137" i="1"/>
  <c r="AO119" i="1"/>
  <c r="AO101" i="1"/>
  <c r="AO83" i="1"/>
  <c r="AO65" i="1"/>
  <c r="AO47" i="1"/>
  <c r="AO29" i="1"/>
  <c r="AO11" i="1"/>
  <c r="AN263" i="1"/>
  <c r="AN265" i="1"/>
  <c r="AL262" i="1"/>
  <c r="AM262" i="1"/>
  <c r="AM261" i="1"/>
  <c r="AL260" i="1"/>
  <c r="AN264" i="1"/>
  <c r="AK265" i="1"/>
  <c r="AG260" i="1"/>
  <c r="AL261" i="1"/>
  <c r="AM260" i="1"/>
  <c r="AK263" i="1"/>
  <c r="AN262" i="1"/>
  <c r="AN261" i="1"/>
  <c r="AN260" i="1"/>
  <c r="AK262" i="1"/>
  <c r="AK261" i="1"/>
  <c r="AK260" i="1"/>
  <c r="AG262" i="1"/>
  <c r="AG261" i="1"/>
  <c r="AO263" i="4" l="1"/>
  <c r="AO260" i="4"/>
  <c r="AO261" i="4"/>
  <c r="AO262" i="4"/>
  <c r="AO264" i="4"/>
  <c r="AO265" i="4"/>
  <c r="AP378" i="1"/>
  <c r="AP377" i="1"/>
  <c r="AP376" i="1"/>
  <c r="AO264" i="1"/>
  <c r="AO265" i="1"/>
  <c r="AO263" i="1"/>
  <c r="AO261" i="1"/>
  <c r="AO262" i="1"/>
  <c r="AO2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tc={EB32F67B-E2AF-498D-A9D5-0C0B8EC3EFC0}</author>
  </authors>
  <commentList>
    <comment ref="AO1" authorId="0" shapeId="0" xr:uid="{EB32F67B-E2AF-498D-A9D5-0C0B8EC3EFC0}">
      <text>
        <t>[Threaded comment]
Your version of Excel allows you to read this threaded comment; however, any edits to it will get removed if the file is opened in a newer version of Excel. Learn more: https://go.microsoft.com/fwlink/?linkid=870924
Comment:
    Considering equal weights, calculated the simple average</t>
      </text>
    </comment>
  </commentList>
</comments>
</file>

<file path=xl/sharedStrings.xml><?xml version="1.0" encoding="utf-8"?>
<sst xmlns="http://schemas.openxmlformats.org/spreadsheetml/2006/main" count="3192" uniqueCount="202">
  <si>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</si>
  <si>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</si>
  <si>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</si>
  <si>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</si>
  <si>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</si>
  <si>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</si>
  <si>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</si>
  <si>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</si>
  <si>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</si>
  <si>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</si>
  <si>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</si>
  <si>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</si>
  <si>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</si>
  <si>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</si>
  <si>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</si>
  <si>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</si>
  <si>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</si>
  <si>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</si>
  <si>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</si>
  <si>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</si>
  <si>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</si>
  <si>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</si>
  <si>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</si>
  <si>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</si>
  <si>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</si>
  <si>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</si>
  <si>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</si>
  <si>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</si>
  <si>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</si>
  <si>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</si>
  <si>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</si>
  <si>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</si>
  <si>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</si>
  <si>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</si>
  <si>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</si>
  <si>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</si>
  <si>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</si>
  <si>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</si>
  <si>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</si>
  <si>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</si>
  <si>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</si>
  <si>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</si>
  <si>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</si>
  <si>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</si>
  <si>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</si>
  <si>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</si>
  <si>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</si>
  <si>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</si>
  <si>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</si>
  <si>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t>
  </si>
  <si>
    <t>Energy</t>
  </si>
  <si>
    <t>Colthing and Personal Care</t>
  </si>
  <si>
    <t>Recreation</t>
  </si>
  <si>
    <t>Alcohol &amp; Tobacco</t>
  </si>
  <si>
    <t>Household &amp; Miscellaneous</t>
  </si>
  <si>
    <t>Transportation &amp; Communication</t>
  </si>
  <si>
    <t>Overall CPI</t>
  </si>
  <si>
    <t>Row Labels</t>
  </si>
  <si>
    <t>Grand Total</t>
  </si>
  <si>
    <t>Column Labels</t>
  </si>
  <si>
    <t>Sum of Food</t>
  </si>
  <si>
    <t>Max Value</t>
  </si>
  <si>
    <t>Sector/Percentage contribution</t>
  </si>
  <si>
    <t>1. Dealt with missing values denoted as 'NA' and '-' using 3 point moving average in the entire dataset.</t>
  </si>
  <si>
    <t>3. Calculated the broader categories and the combined index values using simple average formula (basis the given instruction to consider equal weights across all categories for analysis)</t>
  </si>
  <si>
    <t>4. The broader categories are as follows:</t>
  </si>
  <si>
    <t>Energy (Fuel and light)</t>
  </si>
  <si>
    <t>Alcohol and Tobacco</t>
  </si>
  <si>
    <t>Clothing and Personal care: (Clothing and footwear, personal care and effects)</t>
  </si>
  <si>
    <t>Household and Miscellaneous (miscellaneous, household goods and services)</t>
  </si>
  <si>
    <t>Transportation &amp; Communication(Transport and communication)</t>
  </si>
  <si>
    <t>5. Assumed that the index value for 'Clothing &amp; Footwear' is the combined value for the individual categories 'Clothing' and 'Footwear' in the dataset. Hence, used only the aggregated value to avoid double counting.</t>
  </si>
  <si>
    <t>6. Similarly for Food category, instead of combining up the sub-parts, only used 'Food &amp; beverages' category for analysis.</t>
  </si>
  <si>
    <t>Food (Food &amp; beverages)</t>
  </si>
  <si>
    <t>Sum of General index</t>
  </si>
  <si>
    <t>Y-O-Y inflation rate</t>
  </si>
  <si>
    <t>Corrected the 'Marcrh' to 'March'</t>
  </si>
  <si>
    <t>Key Points:</t>
  </si>
  <si>
    <t>Considered June as the start of the year and May as end of the year as data for 2023 year is present till May month.</t>
  </si>
  <si>
    <t>Example: Inflation rate for 2018 is calculated considering starting month as June 2017 and end month as May 2018</t>
  </si>
  <si>
    <t>Took the General Index value for combined index value for all the categories</t>
  </si>
  <si>
    <t>2022 is the year with highest inflation rate</t>
  </si>
  <si>
    <t>Highest Contribution category across all the three sectors: Alcohol &amp; Tobacco- in the month of May 2023</t>
  </si>
  <si>
    <t>Months</t>
  </si>
  <si>
    <t>2022 May</t>
  </si>
  <si>
    <t>2022 July</t>
  </si>
  <si>
    <t>2023 May</t>
  </si>
  <si>
    <t>M-O-M changes</t>
  </si>
  <si>
    <t>Category</t>
  </si>
  <si>
    <t>Food index values</t>
  </si>
  <si>
    <t>Lowest inflation month</t>
  </si>
  <si>
    <t>Question does not mention about the sector, hence, considered Rural+Urban sector values from the dataset for the purpose of this question</t>
  </si>
  <si>
    <t>Biggest individual category contributor towards inflation is 'Spices' and 'Oil and fats'</t>
  </si>
  <si>
    <t>Yearly change</t>
  </si>
  <si>
    <t>Absolute change</t>
  </si>
  <si>
    <t>Inflation trend before the onset of Covid (Rural sector)</t>
  </si>
  <si>
    <t>Inflation trend after the onset of Covid (Rural sector)</t>
  </si>
  <si>
    <t>1. Considered March 2020 as the onset of Covid Pandemic</t>
  </si>
  <si>
    <t>2. Analyzed the inflation trend yearly wise before and after the year of Pandemic i.e. 2020</t>
  </si>
  <si>
    <t>5. Yearly inflation rate has been calculated using the formula given i.e. ((CPI at the end of the year- CPI at the start of the year)/CPI at the start of the year)*100</t>
  </si>
  <si>
    <t>Insights:</t>
  </si>
  <si>
    <t>4. This analysis is based on the index values for the period March 2013- February 2023 for the Rural sector in the categories mentioned above.</t>
  </si>
  <si>
    <t>1. Food category faced a dip in the inflation rate in 2020 followed by fluctuations in the same.</t>
  </si>
  <si>
    <t>2. Education, on the other hand, saw a huge dip in the inflation rate during lockdown, and then the rate rose gradually in the next years.</t>
  </si>
  <si>
    <t>3. In Energy category, inflation rate got reduced tremendously, however, it again rose in the next year i.e. 2021 from 0.61% to 7.31%</t>
  </si>
  <si>
    <t>4. It is to be noticed that Health sector experienced a spike in the inflation rate in 2020 from 3.86% to 4.85%</t>
  </si>
  <si>
    <t>5. Highest inflation rate was observed in the transportation and communication category where the rate rose to 10.6% from 4.7%</t>
  </si>
  <si>
    <t>6. March and February are considered the starting and ending months resp. For eg, inflation rate of 2019 has been calculated for the period March 2019-February 2020</t>
  </si>
  <si>
    <t>Inflation trend before the onset of Covid (urban sector)</t>
  </si>
  <si>
    <t>Inflation trend after the onset of Covid (urban sector)</t>
  </si>
  <si>
    <t>Clothing and Personal Care</t>
  </si>
  <si>
    <t>3. Took into consideration the categories such as Food, Housing, Energy, Health, Education, Transportation &amp; Communication, Household &amp; Miscellaneous for the analysis of pandemic on Urban inflation rate</t>
  </si>
  <si>
    <t>4. This analysis is based on the index values for the period March 2013- February 2023 for the urban sector in the categories mentioned above.</t>
  </si>
  <si>
    <t>3. Took into consideration the categories such as Food, Energy, Health, Education, Transportation &amp; Communication, Household &amp; Miscellaneous for the analysis of pandemic on the Rural inflation rate</t>
  </si>
  <si>
    <t>1. In the year 2020, highest inflation rate was observed in Transportation and communication sector where it rose from 4.42% to 12.76%</t>
  </si>
  <si>
    <t>2. A surge in the inflation rate in the Health category was observed post covid pandemic. However, Food and energy sector faced a decrease in the inflation in the post pandemic period.</t>
  </si>
  <si>
    <t>3. Housing category faced a dip in the inflation rate during 2020, however, it then gradually increased in the next years, on the other hand, inflation rate got increased in the Clothing &amp; Personal Care category post pandemic.</t>
  </si>
  <si>
    <t>4. Education sector faced an immediate decrease however, it then gradually increased in post pandemic period and then faced a sudden spike from 2.79% to 6.02% in 2022</t>
  </si>
  <si>
    <t>3. Took into consideration the categories such as Food, Housing, Energy, Health, Education, Transportation &amp; Communication, Household &amp; Miscellaneous for the analysis of pandemic on inflation rate for Rural and Urban sector combined.</t>
  </si>
  <si>
    <t>4. This analysis is based on the index values for the period March 2013- February 2023  in the categories mentioned above.</t>
  </si>
  <si>
    <t>2. Left the blank values of Housing Category in the rural sector as it is, as the data is not available throughout for this category and sector, also checked with the data on the official govt website</t>
  </si>
  <si>
    <t xml:space="preserve">Based on research, inflation in the year 2022, rose significantly as compared to previous years. This was driven by higher prices for food and fuel, among other factors like global supply chain disruptions. </t>
  </si>
  <si>
    <t>2022 Jun</t>
  </si>
  <si>
    <t>2022 Aug</t>
  </si>
  <si>
    <t>2022 Sept</t>
  </si>
  <si>
    <t>2022 Oct</t>
  </si>
  <si>
    <t>2022 Nov</t>
  </si>
  <si>
    <t>2022 Dec</t>
  </si>
  <si>
    <t>2023 Jan</t>
  </si>
  <si>
    <t>2023 Feb</t>
  </si>
  <si>
    <t>2023 Mar</t>
  </si>
  <si>
    <t>2023 Apr</t>
  </si>
  <si>
    <t>Highest  inflation month</t>
  </si>
  <si>
    <t>1. In the year 2020, Transportation &amp; Communication sector saw the surge in inflation rates across all categories.</t>
  </si>
  <si>
    <t>2. However, Housing inflation rates were at a decreasing trend before the onset of covid,however, it rose thereafter.</t>
  </si>
  <si>
    <t>3. On the other hand, Health, Education and Energy sector saw an increase in the inflation rate post covid</t>
  </si>
  <si>
    <t>4. Food category, however, saw fluctuations in the inflation rate both before and after covid.</t>
  </si>
  <si>
    <t>Petroleum Planning &amp; Analysis Cell</t>
  </si>
  <si>
    <t>Crude Oil FOB Price (Indian Basket)</t>
  </si>
  <si>
    <t>Table Posted: (01-04-2025)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</si>
  <si>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</si>
  <si>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</si>
  <si>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</si>
  <si>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</si>
  <si>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</si>
  <si>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</si>
  <si>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</si>
  <si>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</si>
  <si>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</si>
  <si>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</si>
  <si>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</si>
  <si>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</si>
  <si>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</si>
  <si>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</si>
  <si>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</si>
  <si>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</si>
  <si>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</si>
  <si>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</si>
  <si>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</si>
  <si>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</si>
  <si>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</si>
  <si>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</si>
  <si>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</si>
  <si>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</si>
  <si>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</si>
  <si>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</si>
  <si>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</si>
  <si>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</si>
  <si>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</si>
  <si>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</si>
  <si>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</si>
  <si>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</si>
  <si>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</si>
  <si>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</si>
  <si>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</si>
  <si>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</si>
  <si>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</si>
  <si>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</si>
  <si>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</si>
  <si>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</si>
  <si>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</si>
  <si>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</si>
  <si>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</si>
  <si>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</si>
  <si>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</si>
  <si>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</si>
  <si>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</si>
  <si>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</si>
  <si>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</si>
  <si>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</si>
  <si>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Imported Crude Oil prices for 2021-2023</t>
  </si>
  <si>
    <t>Catgeory</t>
  </si>
  <si>
    <t>Relation</t>
  </si>
  <si>
    <t xml:space="preserve">Category whose inflation prices strongly change with imported oil price change: </t>
  </si>
  <si>
    <t>Transportation &amp; Communication followed by Recreation, Food and Energy</t>
  </si>
  <si>
    <t xml:space="preserve">Key  points: </t>
  </si>
  <si>
    <t>For the purpose of this question analysis, broader categories created earlier have been taken into consideration</t>
  </si>
  <si>
    <t>https://ppac.gov.in/prices/international-prices-of-crude-oil</t>
  </si>
  <si>
    <t>Since, the data for crude oil prices was not provided, hence, fetched the same from the offical website of PPAC.</t>
  </si>
  <si>
    <t>7. In the 'Processed data' sheet, the broder categories are created along with the original data and are present towards the right.</t>
  </si>
  <si>
    <t>max</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</si>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</sst>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rial"/>
      <family val="2"/>
    </font>
    <font>
      <sz val="11"/>
      <name val="Aptos Narrow"/>
      <family val="2"/>
      <scheme val="minor"/>
    </font>
    <font>
      <b/>
      <sz val="11"/>
      <color rgb="FFFF0000"/>
      <name val="Aptos Narrow"/>
      <family val="2"/>
      <scheme val="minor"/>
    </font>
    <font>
      <b/>
      <sz val="11"/>
      <name val="Aptos Narrow"/>
      <family val="2"/>
      <scheme val="minor"/>
    </font>
    <font>
      <sz val="10"/>
      <name val="Arial"/>
      <family val="2"/>
    </font>
    <font>
      <b/>
      <sz val="12"/>
      <name val="Times New Roman"/>
      <family val="1"/>
    </font>
    <font>
      <sz val="12"/>
      <color theme="1"/>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
      <b/>
      <sz val="11"/>
      <name val="Times New Roman"/>
      <family val="1"/>
    </font>
    <font>
      <sz val="11"/>
      <color theme="1"/>
      <name val="Times New Roman"/>
      <family val="1"/>
    </font>
    <font>
      <b/>
      <i/>
      <u/>
      <sz val="11"/>
      <color theme="1"/>
      <name val="Aptos Narrow"/>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23" fillId="0" borderId="0"/>
  </cellStyleXfs>
  <cellXfs count="100">
    <xf numFmtId="0" fontId="0" fillId="0" borderId="0" xfId="0"/>
    <xf numFmtId="0" fontId="0" fillId="33" borderId="0" xfId="0" applyFill="1"/>
    <xf numFmtId="0" fontId="0" fillId="0" borderId="0" xfId="0" pivotButton="1"/>
    <xf numFmtId="0" fontId="0" fillId="0" borderId="0" xfId="0" applyAlignment="1">
      <alignment horizontal="left"/>
    </xf>
    <xf numFmtId="0" fontId="16" fillId="34" borderId="0" xfId="0" applyFont="1" applyFill="1"/>
    <xf numFmtId="0" fontId="19" fillId="0" borderId="0" xfId="0" applyFont="1" applyAlignment="1">
      <alignment horizontal="left" vertical="center" indent="1"/>
    </xf>
    <xf numFmtId="0" fontId="0" fillId="0" borderId="10" xfId="0" applyBorder="1" applyAlignment="1">
      <alignment horizontal="center"/>
    </xf>
    <xf numFmtId="10" fontId="0" fillId="0" borderId="10" xfId="1" applyNumberFormat="1" applyFont="1" applyBorder="1" applyAlignment="1">
      <alignment horizontal="center"/>
    </xf>
    <xf numFmtId="0" fontId="0" fillId="39" borderId="0" xfId="0" applyFill="1"/>
    <xf numFmtId="0" fontId="19" fillId="39" borderId="0" xfId="0" applyFont="1" applyFill="1" applyAlignment="1">
      <alignment horizontal="left" vertical="center" indent="1"/>
    </xf>
    <xf numFmtId="0" fontId="16" fillId="39" borderId="10" xfId="0" applyFont="1" applyFill="1" applyBorder="1" applyAlignment="1">
      <alignment horizontal="center"/>
    </xf>
    <xf numFmtId="0" fontId="16" fillId="0" borderId="0" xfId="0" applyFont="1"/>
    <xf numFmtId="0" fontId="0" fillId="39" borderId="0" xfId="0" applyFill="1" applyAlignment="1">
      <alignment horizontal="center" wrapText="1"/>
    </xf>
    <xf numFmtId="0" fontId="0" fillId="36" borderId="10" xfId="0" applyFill="1" applyBorder="1" applyAlignment="1">
      <alignment horizontal="center"/>
    </xf>
    <xf numFmtId="10" fontId="0" fillId="36" borderId="10" xfId="1" applyNumberFormat="1" applyFont="1" applyFill="1" applyBorder="1" applyAlignment="1">
      <alignment horizontal="center"/>
    </xf>
    <xf numFmtId="10" fontId="0" fillId="0" borderId="10" xfId="1" applyNumberFormat="1" applyFont="1" applyBorder="1"/>
    <xf numFmtId="0" fontId="0" fillId="0" borderId="0" xfId="0" applyAlignment="1">
      <alignment horizontal="left" indent="1"/>
    </xf>
    <xf numFmtId="0" fontId="0" fillId="41" borderId="0" xfId="0" applyFill="1"/>
    <xf numFmtId="0" fontId="0" fillId="36" borderId="0" xfId="0" applyFill="1" applyAlignment="1">
      <alignment wrapText="1"/>
    </xf>
    <xf numFmtId="0" fontId="21" fillId="0" borderId="0" xfId="0" applyFont="1"/>
    <xf numFmtId="0" fontId="16" fillId="34" borderId="11" xfId="0" applyFont="1" applyFill="1" applyBorder="1" applyAlignment="1">
      <alignment horizontal="center"/>
    </xf>
    <xf numFmtId="0" fontId="16" fillId="0" borderId="11" xfId="0" applyFont="1" applyBorder="1" applyAlignment="1">
      <alignment horizontal="left"/>
    </xf>
    <xf numFmtId="10" fontId="0" fillId="0" borderId="11" xfId="1" applyNumberFormat="1" applyFont="1" applyBorder="1" applyAlignment="1">
      <alignment horizontal="center"/>
    </xf>
    <xf numFmtId="0" fontId="16" fillId="41" borderId="11" xfId="0" applyFont="1" applyFill="1" applyBorder="1" applyAlignment="1">
      <alignment horizontal="center"/>
    </xf>
    <xf numFmtId="17" fontId="0" fillId="0" borderId="11" xfId="0" applyNumberFormat="1" applyBorder="1"/>
    <xf numFmtId="0" fontId="0" fillId="0" borderId="11" xfId="0" applyBorder="1" applyAlignment="1">
      <alignment horizontal="center"/>
    </xf>
    <xf numFmtId="0" fontId="16" fillId="41" borderId="12" xfId="0" applyFont="1" applyFill="1" applyBorder="1" applyAlignment="1">
      <alignment horizontal="center"/>
    </xf>
    <xf numFmtId="0" fontId="16" fillId="40" borderId="12" xfId="0" applyFont="1" applyFill="1" applyBorder="1" applyAlignment="1">
      <alignment horizontal="center"/>
    </xf>
    <xf numFmtId="0" fontId="16" fillId="41" borderId="17" xfId="0" applyFont="1" applyFill="1" applyBorder="1" applyAlignment="1">
      <alignment horizontal="center"/>
    </xf>
    <xf numFmtId="0" fontId="16" fillId="41" borderId="12" xfId="0" applyFont="1" applyFill="1" applyBorder="1" applyAlignment="1">
      <alignment horizontal="center" wrapText="1"/>
    </xf>
    <xf numFmtId="0" fontId="22" fillId="36" borderId="14" xfId="0" applyFont="1" applyFill="1" applyBorder="1" applyAlignment="1">
      <alignment horizontal="center"/>
    </xf>
    <xf numFmtId="0" fontId="22" fillId="36" borderId="15" xfId="0" applyFont="1" applyFill="1" applyBorder="1" applyAlignment="1">
      <alignment horizontal="center"/>
    </xf>
    <xf numFmtId="0" fontId="22" fillId="36" borderId="16" xfId="0" applyFont="1" applyFill="1" applyBorder="1" applyAlignment="1">
      <alignment horizontal="center"/>
    </xf>
    <xf numFmtId="0" fontId="0" fillId="0" borderId="13" xfId="0" applyBorder="1" applyAlignment="1">
      <alignment horizontal="center"/>
    </xf>
    <xf numFmtId="0" fontId="0" fillId="40" borderId="11" xfId="0" applyFill="1" applyBorder="1" applyAlignment="1">
      <alignment horizontal="center"/>
    </xf>
    <xf numFmtId="0" fontId="0" fillId="40" borderId="13"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1" xfId="0" applyBorder="1" applyAlignment="1">
      <alignment horizontal="left"/>
    </xf>
    <xf numFmtId="0" fontId="0" fillId="0" borderId="11" xfId="0" applyBorder="1"/>
    <xf numFmtId="10" fontId="0" fillId="0" borderId="11" xfId="1" applyNumberFormat="1" applyFont="1" applyBorder="1"/>
    <xf numFmtId="0" fontId="0" fillId="38" borderId="11" xfId="0" applyFill="1" applyBorder="1" applyAlignment="1">
      <alignment wrapText="1"/>
    </xf>
    <xf numFmtId="0" fontId="0" fillId="37" borderId="11" xfId="0" applyFill="1" applyBorder="1"/>
    <xf numFmtId="10" fontId="0" fillId="35" borderId="11" xfId="1" applyNumberFormat="1" applyFont="1" applyFill="1" applyBorder="1"/>
    <xf numFmtId="0" fontId="0" fillId="37" borderId="10" xfId="0" applyFill="1" applyBorder="1"/>
    <xf numFmtId="10" fontId="1" fillId="0" borderId="11" xfId="1" applyNumberFormat="1" applyFont="1" applyBorder="1" applyAlignment="1">
      <alignment horizontal="center"/>
    </xf>
    <xf numFmtId="0" fontId="24" fillId="0" borderId="0" xfId="44" applyFont="1"/>
    <xf numFmtId="0" fontId="25" fillId="0" borderId="0" xfId="0" applyFont="1"/>
    <xf numFmtId="0" fontId="24" fillId="0" borderId="20" xfId="44" applyFont="1" applyBorder="1" applyAlignment="1">
      <alignment vertical="center"/>
    </xf>
    <xf numFmtId="0" fontId="24" fillId="0" borderId="0" xfId="44" applyFont="1" applyAlignment="1">
      <alignment vertical="center"/>
    </xf>
    <xf numFmtId="0" fontId="24" fillId="0" borderId="0" xfId="44" applyFont="1" applyAlignment="1">
      <alignment horizontal="right"/>
    </xf>
    <xf numFmtId="164" fontId="24" fillId="45" borderId="10" xfId="44" applyNumberFormat="1" applyFont="1" applyFill="1" applyBorder="1" applyAlignment="1">
      <alignment horizontal="left" vertical="center"/>
    </xf>
    <xf numFmtId="164" fontId="24" fillId="45" borderId="10" xfId="44" applyNumberFormat="1" applyFont="1" applyFill="1" applyBorder="1" applyAlignment="1">
      <alignment horizontal="right" vertical="center"/>
    </xf>
    <xf numFmtId="164" fontId="24" fillId="0" borderId="10" xfId="44" quotePrefix="1" applyNumberFormat="1" applyFont="1" applyBorder="1" applyAlignment="1">
      <alignment horizontal="left" vertical="center"/>
    </xf>
    <xf numFmtId="4" fontId="25" fillId="0" borderId="10" xfId="0" applyNumberFormat="1" applyFont="1" applyBorder="1" applyAlignment="1">
      <alignment horizontal="right" vertical="center"/>
    </xf>
    <xf numFmtId="4" fontId="28" fillId="0" borderId="10" xfId="0" applyNumberFormat="1" applyFont="1" applyBorder="1" applyAlignment="1">
      <alignment horizontal="right" vertical="center"/>
    </xf>
    <xf numFmtId="49" fontId="28" fillId="0" borderId="10" xfId="0" applyNumberFormat="1" applyFont="1" applyBorder="1" applyAlignment="1">
      <alignment horizontal="right" vertical="center"/>
    </xf>
    <xf numFmtId="0" fontId="25" fillId="0" borderId="0" xfId="0" applyFont="1" applyAlignment="1">
      <alignment vertical="center"/>
    </xf>
    <xf numFmtId="164" fontId="24" fillId="0" borderId="10" xfId="44" applyNumberFormat="1" applyFont="1" applyBorder="1" applyAlignment="1">
      <alignment horizontal="left" vertical="center"/>
    </xf>
    <xf numFmtId="4" fontId="25" fillId="0" borderId="0" xfId="0" applyNumberFormat="1" applyFont="1" applyAlignment="1">
      <alignment vertical="center"/>
    </xf>
    <xf numFmtId="0" fontId="24" fillId="0" borderId="0" xfId="0" applyFont="1" applyAlignment="1">
      <alignment wrapText="1"/>
    </xf>
    <xf numFmtId="0" fontId="29" fillId="0" borderId="0" xfId="0" applyFont="1"/>
    <xf numFmtId="0" fontId="30" fillId="0" borderId="0" xfId="0" applyFont="1"/>
    <xf numFmtId="0" fontId="25" fillId="0" borderId="0" xfId="0" applyFont="1" applyAlignment="1">
      <alignment horizontal="left"/>
    </xf>
    <xf numFmtId="4" fontId="25" fillId="0" borderId="0" xfId="0" applyNumberFormat="1" applyFont="1"/>
    <xf numFmtId="0" fontId="16" fillId="39" borderId="11" xfId="0" applyFont="1" applyFill="1" applyBorder="1" applyAlignment="1">
      <alignment horizontal="center"/>
    </xf>
    <xf numFmtId="0" fontId="16" fillId="0" borderId="11" xfId="0" applyFont="1" applyBorder="1" applyAlignment="1">
      <alignment horizontal="center"/>
    </xf>
    <xf numFmtId="2" fontId="0" fillId="0" borderId="11" xfId="0" applyNumberFormat="1" applyBorder="1" applyAlignment="1">
      <alignment horizontal="center"/>
    </xf>
    <xf numFmtId="0" fontId="16" fillId="43" borderId="11" xfId="0" applyFont="1" applyFill="1" applyBorder="1" applyAlignment="1">
      <alignment horizontal="center" wrapText="1"/>
    </xf>
    <xf numFmtId="2" fontId="0" fillId="43" borderId="11" xfId="0" applyNumberFormat="1" applyFill="1" applyBorder="1" applyAlignment="1">
      <alignment horizontal="center"/>
    </xf>
    <xf numFmtId="0" fontId="16" fillId="0" borderId="11" xfId="0" applyFont="1" applyBorder="1" applyAlignment="1">
      <alignment horizontal="center" wrapText="1"/>
    </xf>
    <xf numFmtId="0" fontId="16" fillId="39" borderId="12" xfId="0" applyFont="1" applyFill="1" applyBorder="1" applyAlignment="1">
      <alignment horizontal="center"/>
    </xf>
    <xf numFmtId="0" fontId="0" fillId="0" borderId="12" xfId="0" applyBorder="1" applyAlignment="1">
      <alignment horizontal="center"/>
    </xf>
    <xf numFmtId="164" fontId="31" fillId="0" borderId="0" xfId="44" quotePrefix="1" applyNumberFormat="1" applyFont="1" applyAlignment="1">
      <alignment horizontal="center" vertical="center"/>
    </xf>
    <xf numFmtId="0" fontId="16" fillId="33" borderId="11" xfId="0" applyFont="1" applyFill="1" applyBorder="1" applyAlignment="1">
      <alignment horizontal="center"/>
    </xf>
    <xf numFmtId="164" fontId="31" fillId="33" borderId="11" xfId="44" applyNumberFormat="1" applyFont="1" applyFill="1" applyBorder="1" applyAlignment="1">
      <alignment horizontal="center" vertical="center"/>
    </xf>
    <xf numFmtId="164" fontId="31" fillId="0" borderId="11" xfId="44" quotePrefix="1" applyNumberFormat="1" applyFont="1" applyBorder="1" applyAlignment="1">
      <alignment horizontal="center" vertical="center"/>
    </xf>
    <xf numFmtId="4" fontId="32" fillId="0" borderId="11" xfId="0" applyNumberFormat="1" applyFont="1" applyBorder="1" applyAlignment="1">
      <alignment horizontal="center" vertical="center"/>
    </xf>
    <xf numFmtId="0" fontId="18" fillId="0" borderId="0" xfId="43"/>
    <xf numFmtId="0" fontId="16" fillId="36" borderId="21" xfId="0" applyFont="1" applyFill="1" applyBorder="1" applyAlignment="1">
      <alignment horizontal="center"/>
    </xf>
    <xf numFmtId="0" fontId="0" fillId="0" borderId="21" xfId="0" applyBorder="1" applyAlignment="1">
      <alignment horizontal="center"/>
    </xf>
    <xf numFmtId="0" fontId="0" fillId="0" borderId="21" xfId="0" applyBorder="1"/>
    <xf numFmtId="10" fontId="0" fillId="0" borderId="21" xfId="1" applyNumberFormat="1" applyFont="1" applyBorder="1"/>
    <xf numFmtId="0" fontId="0" fillId="40" borderId="21" xfId="0" applyFill="1" applyBorder="1" applyAlignment="1">
      <alignment horizontal="center"/>
    </xf>
    <xf numFmtId="10" fontId="0" fillId="40" borderId="21" xfId="1" applyNumberFormat="1" applyFont="1" applyFill="1" applyBorder="1"/>
    <xf numFmtId="0" fontId="0" fillId="43" borderId="21" xfId="0" applyFill="1" applyBorder="1" applyAlignment="1">
      <alignment horizontal="center"/>
    </xf>
    <xf numFmtId="10" fontId="0" fillId="43" borderId="21" xfId="1" applyNumberFormat="1" applyFont="1" applyFill="1" applyBorder="1"/>
    <xf numFmtId="0" fontId="16" fillId="0" borderId="11" xfId="0" applyFont="1" applyBorder="1"/>
    <xf numFmtId="17" fontId="0" fillId="40" borderId="11" xfId="0" applyNumberFormat="1" applyFill="1" applyBorder="1"/>
    <xf numFmtId="17" fontId="0" fillId="36" borderId="11" xfId="0" applyNumberFormat="1" applyFill="1" applyBorder="1"/>
    <xf numFmtId="0" fontId="16" fillId="36" borderId="0" xfId="0" applyFont="1" applyFill="1" applyAlignment="1">
      <alignment horizontal="center"/>
    </xf>
    <xf numFmtId="0" fontId="20" fillId="42" borderId="11" xfId="0" applyFont="1" applyFill="1" applyBorder="1" applyAlignment="1">
      <alignment horizontal="center"/>
    </xf>
    <xf numFmtId="0" fontId="26" fillId="0" borderId="0" xfId="0" applyFont="1" applyAlignment="1">
      <alignment horizontal="center" vertical="center"/>
    </xf>
    <xf numFmtId="0" fontId="27" fillId="44" borderId="0" xfId="44" applyFont="1" applyFill="1" applyAlignment="1">
      <alignment horizontal="center" vertical="center"/>
    </xf>
    <xf numFmtId="0" fontId="29" fillId="0" borderId="0" xfId="0" quotePrefix="1" applyFont="1" applyAlignment="1">
      <alignment horizontal="left" vertical="top" wrapText="1"/>
    </xf>
    <xf numFmtId="0" fontId="18" fillId="0" borderId="0" xfId="43"/>
    <xf numFmtId="0" fontId="16" fillId="0" borderId="0" xfId="0" applyFont="1" applyAlignment="1">
      <alignment horizontal="center" vertical="top" wrapText="1"/>
    </xf>
    <xf numFmtId="0" fontId="0" fillId="0" borderId="0" xfId="0" applyAlignment="1">
      <alignment vertical="top" wrapText="1"/>
    </xf>
    <xf numFmtId="0" fontId="16" fillId="36" borderId="11" xfId="0" applyFont="1" applyFill="1" applyBorder="1" applyAlignment="1">
      <alignment horizontal="center" wrapText="1"/>
    </xf>
    <xf numFmtId="0" fontId="33" fillId="33" borderId="0" xfId="0" applyFont="1" applyFill="1" applyAlignment="1">
      <alignment horizont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rmal 4" xfId="44" xr:uid="{9FD7CA88-D7CF-4E6D-B634-B24B47C976CD}"/>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outline="0">
        <left style="thin">
          <color theme="0" tint="-0.24994659260841701"/>
        </left>
        <right/>
        <top style="thin">
          <color theme="0" tint="-0.24994659260841701"/>
        </top>
        <bottom style="thin">
          <color theme="0" tint="-0.24994659260841701"/>
        </bottom>
      </border>
    </dxf>
    <dxf>
      <alignment horizontal="center" vertical="bottom"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center" vertical="bottom" textRotation="0" wrapText="0" indent="0" justifyLastLine="0" shrinkToFit="0" readingOrder="0"/>
      <border diagonalUp="0" diagonalDown="0" outline="0">
        <left/>
        <right style="thin">
          <color theme="0" tint="-0.24994659260841701"/>
        </right>
        <top style="thin">
          <color theme="0" tint="-0.24994659260841701"/>
        </top>
        <bottom style="thin">
          <color theme="0" tint="-0.24994659260841701"/>
        </bottom>
      </border>
    </dxf>
    <dxf>
      <border outline="0">
        <top style="thin">
          <color theme="0" tint="-0.24994659260841701"/>
        </top>
      </border>
    </dxf>
    <dxf>
      <border outline="0">
        <left style="thin">
          <color theme="0" tint="-0.24994659260841701"/>
        </left>
        <right style="thin">
          <color theme="0" tint="-0.24994659260841701"/>
        </right>
        <top style="thin">
          <color theme="0" tint="-0.24994659260841701"/>
        </top>
        <bottom style="thin">
          <color theme="0" tint="-0.24994659260841701"/>
        </bottom>
      </border>
    </dxf>
    <dxf>
      <border outline="0">
        <bottom style="thin">
          <color theme="0" tint="-0.24994659260841701"/>
        </bottom>
      </border>
    </dxf>
    <dxf>
      <font>
        <b/>
        <i val="0"/>
        <strike val="0"/>
        <condense val="0"/>
        <extend val="0"/>
        <outline val="0"/>
        <shadow val="0"/>
        <u val="none"/>
        <vertAlign val="baseline"/>
        <sz val="11"/>
        <color auto="1"/>
        <name val="Aptos Narrow"/>
        <family val="2"/>
        <scheme val="minor"/>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theme="0" tint="-0.24994659260841701"/>
        </left>
        <right style="thin">
          <color theme="0" tint="-0.2499465926084170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overall inflation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053242762592562E-2"/>
          <c:y val="0.16178167984881886"/>
          <c:w val="0.89030796150481195"/>
          <c:h val="0.72125801983085447"/>
        </c:manualLayout>
      </c:layout>
      <c:lineChart>
        <c:grouping val="standard"/>
        <c:varyColors val="0"/>
        <c:ser>
          <c:idx val="0"/>
          <c:order val="0"/>
          <c:tx>
            <c:strRef>
              <c:f>'Y-O-Y Inflation rate'!$G$13</c:f>
              <c:strCache>
                <c:ptCount val="1"/>
                <c:pt idx="0">
                  <c:v>Y-O-Y inflation rate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'Y-O-Y Inflation rate'!$F$14:$F$20</c:f>
              <c:numCache>
                <c:formatCode>General</c:formatCode>
                <c:ptCount val="7"/>
                <c:pt idx="0">
                  <c:v>2017</c:v>
                </c:pt>
                <c:pt idx="1">
                  <c:v>2018</c:v>
                </c:pt>
                <c:pt idx="2">
                  <c:v>2019</c:v>
                </c:pt>
                <c:pt idx="3">
                  <c:v>2020</c:v>
                </c:pt>
                <c:pt idx="4">
                  <c:v>2021</c:v>
                </c:pt>
                <c:pt idx="5">
                  <c:v>2022</c:v>
                </c:pt>
                <c:pt idx="6">
                  <c:v>2023</c:v>
                </c:pt>
              </c:numCache>
            </c:numRef>
          </c:cat>
          <c:val>
            <c:numRef>
              <c:f>'Y-O-Y Inflation rate'!$G$14:$G$20</c:f>
              <c:numCache>
                <c:formatCode>0.00%</c:formatCode>
                <c:ptCount val="7"/>
                <c:pt idx="0">
                  <c:v>9.9923136049193811E-3</c:v>
                </c:pt>
                <c:pt idx="1">
                  <c:v>4.3939393939394028E-2</c:v>
                </c:pt>
                <c:pt idx="2">
                  <c:v>2.5270758122743681E-2</c:v>
                </c:pt>
                <c:pt idx="3">
                  <c:v>4.2687193841847403E-2</c:v>
                </c:pt>
                <c:pt idx="4">
                  <c:v>5.6653491436100087E-2</c:v>
                </c:pt>
                <c:pt idx="5">
                  <c:v>6.4476131432113934E-2</c:v>
                </c:pt>
                <c:pt idx="6">
                  <c:v>3.7659327925840091E-2</c:v>
                </c:pt>
              </c:numCache>
            </c:numRef>
          </c:val>
          <c:smooth val="0"/>
          <c:extLst>
            <c:ext xmlns:c16="http://schemas.microsoft.com/office/drawing/2014/chart" uri="{C3380CC4-5D6E-409C-BE32-E72D297353CC}">
              <c16:uniqueId val="{00000000-9BC1-4714-BE7A-246B67ADB7E6}"/>
            </c:ext>
          </c:extLst>
        </c:ser>
        <c:dLbls>
          <c:dLblPos val="t"/>
          <c:showLegendKey val="0"/>
          <c:showVal val="1"/>
          <c:showCatName val="0"/>
          <c:showSerName val="0"/>
          <c:showPercent val="0"/>
          <c:showBubbleSize val="0"/>
        </c:dLbls>
        <c:smooth val="0"/>
        <c:axId val="1123528159"/>
        <c:axId val="1123525279"/>
      </c:lineChart>
      <c:catAx>
        <c:axId val="1123528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25279"/>
        <c:crosses val="autoZero"/>
        <c:auto val="1"/>
        <c:lblAlgn val="ctr"/>
        <c:lblOffset val="100"/>
        <c:noMultiLvlLbl val="0"/>
      </c:catAx>
      <c:valAx>
        <c:axId val="1123525279"/>
        <c:scaling>
          <c:orientation val="minMax"/>
        </c:scaling>
        <c:delete val="1"/>
        <c:axPos val="l"/>
        <c:numFmt formatCode="0.00%" sourceLinked="1"/>
        <c:majorTickMark val="none"/>
        <c:minorTickMark val="none"/>
        <c:tickLblPos val="nextTo"/>
        <c:crossAx val="1123528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 trend of food inflation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'Food Inflation (a)'!$G$1:$G$2</c:f>
              <c:strCache>
                <c:ptCount val="2"/>
                <c:pt idx="0">
                  <c:v>M-O-M changes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(a)'!$E$3:$E$14</c:f>
              <c:strCache>
                <c:ptCount val="12"/>
                <c:pt idx="0">
                  <c:v>2022 Jun</c:v>
                </c:pt>
                <c:pt idx="1">
                  <c:v>2022 July</c:v>
                </c:pt>
                <c:pt idx="2">
                  <c:v>2022 Aug</c:v>
                </c:pt>
                <c:pt idx="3">
                  <c:v>2022 Sept</c:v>
                </c:pt>
                <c:pt idx="4">
                  <c:v>2022 Oct</c:v>
                </c:pt>
                <c:pt idx="5">
                  <c:v>2022 Nov</c:v>
                </c:pt>
                <c:pt idx="6">
                  <c:v>2022 Dec</c:v>
                </c:pt>
                <c:pt idx="7">
                  <c:v>2023 Jan</c:v>
                </c:pt>
                <c:pt idx="8">
                  <c:v>2023 Feb</c:v>
                </c:pt>
                <c:pt idx="9">
                  <c:v>2023 Mar</c:v>
                </c:pt>
                <c:pt idx="10">
                  <c:v>2023 Apr</c:v>
                </c:pt>
                <c:pt idx="11">
                  <c:v>2023 May</c:v>
                </c:pt>
              </c:strCache>
            </c:strRef>
          </c:cat>
          <c:val>
            <c:numRef>
              <c:f>'Food Inflation (a)'!$G$3:$G$14</c:f>
              <c:numCache>
                <c:formatCode>0.00%</c:formatCode>
                <c:ptCount val="12"/>
                <c:pt idx="0">
                  <c:v>9.2325447201384546E-3</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0-264B-40EF-BD5F-57E3A313C85D}"/>
            </c:ext>
          </c:extLst>
        </c:ser>
        <c:dLbls>
          <c:dLblPos val="t"/>
          <c:showLegendKey val="0"/>
          <c:showVal val="1"/>
          <c:showCatName val="0"/>
          <c:showSerName val="0"/>
          <c:showPercent val="0"/>
          <c:showBubbleSize val="0"/>
        </c:dLbls>
        <c:smooth val="0"/>
        <c:axId val="1050858703"/>
        <c:axId val="1050859663"/>
      </c:lineChart>
      <c:catAx>
        <c:axId val="105085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59663"/>
        <c:crosses val="autoZero"/>
        <c:auto val="1"/>
        <c:lblAlgn val="ctr"/>
        <c:lblOffset val="100"/>
        <c:noMultiLvlLbl val="0"/>
      </c:catAx>
      <c:valAx>
        <c:axId val="1050859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58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Absolute change in food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'Food Inflation (b)'!$D$15</c:f>
              <c:strCache>
                <c:ptCount val="1"/>
                <c:pt idx="0">
                  <c:v>Absolute change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(b)'!$B$16:$B$27</c:f>
              <c:strCache>
                <c:ptCount val="12"/>
                <c:pt idx="0">
                  <c:v>Cereals and products</c:v>
                </c:pt>
                <c:pt idx="1">
                  <c:v>Prepared meals, snacks, sweets etc.</c:v>
                </c:pt>
                <c:pt idx="2">
                  <c:v>Non-alcoholic beverages</c:v>
                </c:pt>
                <c:pt idx="3">
                  <c:v>Spices</c:v>
                </c:pt>
                <c:pt idx="4">
                  <c:v>Sugar and Confectionery</c:v>
                </c:pt>
                <c:pt idx="5">
                  <c:v>Pulses and products</c:v>
                </c:pt>
                <c:pt idx="6">
                  <c:v>Vegetables</c:v>
                </c:pt>
                <c:pt idx="7">
                  <c:v>Fruits</c:v>
                </c:pt>
                <c:pt idx="8">
                  <c:v>Oils and fats</c:v>
                </c:pt>
                <c:pt idx="9">
                  <c:v>Meat and fish</c:v>
                </c:pt>
                <c:pt idx="10">
                  <c:v>Egg</c:v>
                </c:pt>
                <c:pt idx="11">
                  <c:v>Milk and products</c:v>
                </c:pt>
              </c:strCache>
            </c:strRef>
          </c:cat>
          <c:val>
            <c:numRef>
              <c:f>'Food Inflation (b)'!$D$16:$D$27</c:f>
              <c:numCache>
                <c:formatCode>General</c:formatCode>
                <c:ptCount val="12"/>
                <c:pt idx="0">
                  <c:v>18.699999999999989</c:v>
                </c:pt>
                <c:pt idx="1">
                  <c:v>10.299999999999983</c:v>
                </c:pt>
                <c:pt idx="2">
                  <c:v>5.5</c:v>
                </c:pt>
                <c:pt idx="3">
                  <c:v>30.900000000000006</c:v>
                </c:pt>
                <c:pt idx="4">
                  <c:v>2.7999999999999972</c:v>
                </c:pt>
                <c:pt idx="5">
                  <c:v>11.299999999999983</c:v>
                </c:pt>
                <c:pt idx="6">
                  <c:v>21.300000000000011</c:v>
                </c:pt>
                <c:pt idx="7">
                  <c:v>2.5</c:v>
                </c:pt>
                <c:pt idx="8">
                  <c:v>30.900000000000006</c:v>
                </c:pt>
                <c:pt idx="9">
                  <c:v>5.0999999999999943</c:v>
                </c:pt>
                <c:pt idx="10">
                  <c:v>2.3999999999999773</c:v>
                </c:pt>
                <c:pt idx="11">
                  <c:v>13.699999999999989</c:v>
                </c:pt>
              </c:numCache>
            </c:numRef>
          </c:val>
          <c:extLst>
            <c:ext xmlns:c16="http://schemas.microsoft.com/office/drawing/2014/chart" uri="{C3380CC4-5D6E-409C-BE32-E72D297353CC}">
              <c16:uniqueId val="{00000000-D2C9-4011-BA69-D086307534A4}"/>
            </c:ext>
          </c:extLst>
        </c:ser>
        <c:dLbls>
          <c:dLblPos val="outEnd"/>
          <c:showLegendKey val="0"/>
          <c:showVal val="1"/>
          <c:showCatName val="0"/>
          <c:showSerName val="0"/>
          <c:showPercent val="0"/>
          <c:showBubbleSize val="0"/>
        </c:dLbls>
        <c:gapWidth val="182"/>
        <c:axId val="661305312"/>
        <c:axId val="661307232"/>
      </c:barChart>
      <c:catAx>
        <c:axId val="6613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07232"/>
        <c:crosses val="autoZero"/>
        <c:auto val="1"/>
        <c:lblAlgn val="ctr"/>
        <c:lblOffset val="100"/>
        <c:noMultiLvlLbl val="0"/>
      </c:catAx>
      <c:valAx>
        <c:axId val="66130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0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kern="1200" spc="0" baseline="0">
                <a:solidFill>
                  <a:schemeClr val="tx1">
                    <a:lumMod val="95000"/>
                    <a:lumOff val="5000"/>
                  </a:schemeClr>
                </a:solidFill>
              </a:rPr>
              <a:t>Urban Inflation trend showing covid impact</a:t>
            </a:r>
          </a:p>
        </c:rich>
      </c:tx>
      <c:layout>
        <c:manualLayout>
          <c:xMode val="edge"/>
          <c:yMode val="edge"/>
          <c:x val="0.26546427736461348"/>
          <c:y val="3.125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'Covid Impact Urban'!$E$2</c:f>
              <c:strCache>
                <c:ptCount val="1"/>
                <c:pt idx="0">
                  <c:v>Food</c:v>
                </c:pt>
              </c:strCache>
            </c:strRef>
          </c:tx>
          <c:spPr>
            <a:ln w="28575" cap="rnd">
              <a:solidFill>
                <a:schemeClr val="accent1"/>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Urban'!$E$3:$E$9,'Covid Impact Urban'!$E$15:$E$17)</c:f>
              <c:numCache>
                <c:formatCode>0.00%</c:formatCode>
                <c:ptCount val="10"/>
                <c:pt idx="0">
                  <c:v>7.3625349487418501E-2</c:v>
                </c:pt>
                <c:pt idx="1">
                  <c:v>6.6379310344827608E-2</c:v>
                </c:pt>
                <c:pt idx="2">
                  <c:v>4.1969330104923229E-2</c:v>
                </c:pt>
                <c:pt idx="3">
                  <c:v>2.48254460822342E-2</c:v>
                </c:pt>
                <c:pt idx="4">
                  <c:v>2.2624434389140271E-2</c:v>
                </c:pt>
                <c:pt idx="5">
                  <c:v>2.3738872403560745E-2</c:v>
                </c:pt>
                <c:pt idx="6">
                  <c:v>8.6676217765042946E-2</c:v>
                </c:pt>
                <c:pt idx="7">
                  <c:v>7.1285809460359881E-2</c:v>
                </c:pt>
                <c:pt idx="8">
                  <c:v>6.1097256857855255E-2</c:v>
                </c:pt>
                <c:pt idx="9">
                  <c:v>5.3644314868804596E-2</c:v>
                </c:pt>
              </c:numCache>
            </c:numRef>
          </c:val>
          <c:smooth val="0"/>
          <c:extLst>
            <c:ext xmlns:c16="http://schemas.microsoft.com/office/drawing/2014/chart" uri="{C3380CC4-5D6E-409C-BE32-E72D297353CC}">
              <c16:uniqueId val="{00000000-995A-4C3B-AA3C-39796F4EAC73}"/>
            </c:ext>
          </c:extLst>
        </c:ser>
        <c:ser>
          <c:idx val="1"/>
          <c:order val="1"/>
          <c:tx>
            <c:strRef>
              <c:f>'Covid Impact Urban'!$F$2</c:f>
              <c:strCache>
                <c:ptCount val="1"/>
                <c:pt idx="0">
                  <c:v>Housing</c:v>
                </c:pt>
              </c:strCache>
            </c:strRef>
          </c:tx>
          <c:spPr>
            <a:ln w="28575" cap="rnd">
              <a:solidFill>
                <a:schemeClr val="accent2"/>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Urban'!$F$3:$F$9,'Covid Impact Urban'!$F$15:$F$17)</c:f>
              <c:numCache>
                <c:formatCode>0.00%</c:formatCode>
                <c:ptCount val="10"/>
                <c:pt idx="0">
                  <c:v>0.12051792828685252</c:v>
                </c:pt>
                <c:pt idx="1">
                  <c:v>4.3286219081272011E-2</c:v>
                </c:pt>
                <c:pt idx="2">
                  <c:v>4.8903878583473961E-2</c:v>
                </c:pt>
                <c:pt idx="3">
                  <c:v>4.483586869495592E-2</c:v>
                </c:pt>
                <c:pt idx="4">
                  <c:v>7.7803203661327369E-2</c:v>
                </c:pt>
                <c:pt idx="5">
                  <c:v>4.5774647887323945E-2</c:v>
                </c:pt>
                <c:pt idx="6">
                  <c:v>3.8926174496644372E-2</c:v>
                </c:pt>
                <c:pt idx="7">
                  <c:v>3.4304207119741172E-2</c:v>
                </c:pt>
                <c:pt idx="8">
                  <c:v>3.5021888680425231E-2</c:v>
                </c:pt>
                <c:pt idx="9">
                  <c:v>4.9606775559588555E-2</c:v>
                </c:pt>
              </c:numCache>
            </c:numRef>
          </c:val>
          <c:smooth val="0"/>
          <c:extLst>
            <c:ext xmlns:c16="http://schemas.microsoft.com/office/drawing/2014/chart" uri="{C3380CC4-5D6E-409C-BE32-E72D297353CC}">
              <c16:uniqueId val="{00000001-995A-4C3B-AA3C-39796F4EAC73}"/>
            </c:ext>
          </c:extLst>
        </c:ser>
        <c:ser>
          <c:idx val="2"/>
          <c:order val="2"/>
          <c:tx>
            <c:strRef>
              <c:f>'Covid Impact Urban'!$G$2</c:f>
              <c:strCache>
                <c:ptCount val="1"/>
                <c:pt idx="0">
                  <c:v>Education</c:v>
                </c:pt>
              </c:strCache>
            </c:strRef>
          </c:tx>
          <c:spPr>
            <a:ln w="28575" cap="rnd">
              <a:solidFill>
                <a:schemeClr val="accent3"/>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Urban'!$G$3:$G$9,'Covid Impact Urban'!$G$15:$G$17)</c:f>
              <c:numCache>
                <c:formatCode>0.00%</c:formatCode>
                <c:ptCount val="10"/>
                <c:pt idx="0">
                  <c:v>7.5144508670520208E-2</c:v>
                </c:pt>
                <c:pt idx="1">
                  <c:v>7.6923076923076997E-2</c:v>
                </c:pt>
                <c:pt idx="2">
                  <c:v>4.7263681592039829E-2</c:v>
                </c:pt>
                <c:pt idx="3">
                  <c:v>4.7468354430379743E-2</c:v>
                </c:pt>
                <c:pt idx="4">
                  <c:v>3.3132530120481757E-2</c:v>
                </c:pt>
                <c:pt idx="5">
                  <c:v>6.386066763425241E-2</c:v>
                </c:pt>
                <c:pt idx="6">
                  <c:v>3.7491479209270623E-2</c:v>
                </c:pt>
                <c:pt idx="7">
                  <c:v>2.6885245901639307E-2</c:v>
                </c:pt>
                <c:pt idx="8">
                  <c:v>2.7918781725888363E-2</c:v>
                </c:pt>
                <c:pt idx="9">
                  <c:v>6.0233558696988397E-2</c:v>
                </c:pt>
              </c:numCache>
            </c:numRef>
          </c:val>
          <c:smooth val="0"/>
          <c:extLst>
            <c:ext xmlns:c16="http://schemas.microsoft.com/office/drawing/2014/chart" uri="{C3380CC4-5D6E-409C-BE32-E72D297353CC}">
              <c16:uniqueId val="{00000002-995A-4C3B-AA3C-39796F4EAC73}"/>
            </c:ext>
          </c:extLst>
        </c:ser>
        <c:ser>
          <c:idx val="3"/>
          <c:order val="3"/>
          <c:tx>
            <c:strRef>
              <c:f>'Covid Impact Urban'!$H$2</c:f>
              <c:strCache>
                <c:ptCount val="1"/>
                <c:pt idx="0">
                  <c:v>Energy</c:v>
                </c:pt>
              </c:strCache>
            </c:strRef>
          </c:tx>
          <c:spPr>
            <a:ln w="28575" cap="rnd">
              <a:solidFill>
                <a:schemeClr val="accent4"/>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Urban'!$H$3:$H$9,'Covid Impact Urban'!$H$15:$H$17)</c:f>
              <c:numCache>
                <c:formatCode>0.00%</c:formatCode>
                <c:ptCount val="10"/>
                <c:pt idx="0">
                  <c:v>4.8113207547169759E-2</c:v>
                </c:pt>
                <c:pt idx="1">
                  <c:v>2.7953110910730335E-2</c:v>
                </c:pt>
                <c:pt idx="2">
                  <c:v>1.3986013986013936E-2</c:v>
                </c:pt>
                <c:pt idx="3">
                  <c:v>3.8327526132404234E-2</c:v>
                </c:pt>
                <c:pt idx="4">
                  <c:v>5.3807947019867554E-2</c:v>
                </c:pt>
                <c:pt idx="5">
                  <c:v>5.5379746835442136E-3</c:v>
                </c:pt>
                <c:pt idx="6">
                  <c:v>7.8416149068322935E-2</c:v>
                </c:pt>
                <c:pt idx="7">
                  <c:v>5.4455445544554372E-2</c:v>
                </c:pt>
                <c:pt idx="8">
                  <c:v>5.2971576227390106E-2</c:v>
                </c:pt>
                <c:pt idx="9">
                  <c:v>0.1112462006079028</c:v>
                </c:pt>
              </c:numCache>
            </c:numRef>
          </c:val>
          <c:smooth val="0"/>
          <c:extLst>
            <c:ext xmlns:c16="http://schemas.microsoft.com/office/drawing/2014/chart" uri="{C3380CC4-5D6E-409C-BE32-E72D297353CC}">
              <c16:uniqueId val="{00000003-995A-4C3B-AA3C-39796F4EAC73}"/>
            </c:ext>
          </c:extLst>
        </c:ser>
        <c:dLbls>
          <c:showLegendKey val="0"/>
          <c:showVal val="0"/>
          <c:showCatName val="0"/>
          <c:showSerName val="0"/>
          <c:showPercent val="0"/>
          <c:showBubbleSize val="0"/>
        </c:dLbls>
        <c:smooth val="0"/>
        <c:axId val="1241619696"/>
        <c:axId val="1241618736"/>
      </c:lineChart>
      <c:catAx>
        <c:axId val="12416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18736"/>
        <c:crosses val="autoZero"/>
        <c:auto val="1"/>
        <c:lblAlgn val="ctr"/>
        <c:lblOffset val="100"/>
        <c:noMultiLvlLbl val="0"/>
      </c:catAx>
      <c:valAx>
        <c:axId val="1241618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1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kern="1200" spc="0" baseline="0">
                <a:solidFill>
                  <a:schemeClr val="tx1">
                    <a:lumMod val="95000"/>
                    <a:lumOff val="5000"/>
                  </a:schemeClr>
                </a:solidFill>
              </a:rPr>
              <a:t>Urban Inflation trend showing covid impact</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'Covid Impact Urban'!$B$2</c:f>
              <c:strCache>
                <c:ptCount val="1"/>
                <c:pt idx="0">
                  <c:v>Health</c:v>
                </c:pt>
              </c:strCache>
            </c:strRef>
          </c:tx>
          <c:spPr>
            <a:ln w="28575" cap="rnd">
              <a:solidFill>
                <a:schemeClr val="accent1"/>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Urban'!$B$3:$B$9,'Covid Impact Urban'!$B$15:$B$17)</c:f>
              <c:numCache>
                <c:formatCode>0.00%</c:formatCode>
                <c:ptCount val="10"/>
                <c:pt idx="0">
                  <c:v>4.9429657794676833E-2</c:v>
                </c:pt>
                <c:pt idx="1">
                  <c:v>2.978339350180503E-2</c:v>
                </c:pt>
                <c:pt idx="2">
                  <c:v>4.5494313210848673E-2</c:v>
                </c:pt>
                <c:pt idx="3">
                  <c:v>2.6733500417710967E-2</c:v>
                </c:pt>
                <c:pt idx="4">
                  <c:v>5.442729488220973E-2</c:v>
                </c:pt>
                <c:pt idx="5">
                  <c:v>6.1302681992337162E-2</c:v>
                </c:pt>
                <c:pt idx="6">
                  <c:v>3.7356321839080588E-2</c:v>
                </c:pt>
                <c:pt idx="7">
                  <c:v>7.7931034482758704E-2</c:v>
                </c:pt>
                <c:pt idx="8">
                  <c:v>6.5646908859145842E-2</c:v>
                </c:pt>
                <c:pt idx="9">
                  <c:v>7.4910820451843191E-2</c:v>
                </c:pt>
              </c:numCache>
            </c:numRef>
          </c:val>
          <c:smooth val="0"/>
          <c:extLst>
            <c:ext xmlns:c16="http://schemas.microsoft.com/office/drawing/2014/chart" uri="{C3380CC4-5D6E-409C-BE32-E72D297353CC}">
              <c16:uniqueId val="{00000000-82B7-4510-BC00-E6FBB40FC359}"/>
            </c:ext>
          </c:extLst>
        </c:ser>
        <c:ser>
          <c:idx val="1"/>
          <c:order val="1"/>
          <c:tx>
            <c:strRef>
              <c:f>'Covid Impact Urban'!$C$2</c:f>
              <c:strCache>
                <c:ptCount val="1"/>
                <c:pt idx="0">
                  <c:v>Transportation &amp; Communication</c:v>
                </c:pt>
              </c:strCache>
            </c:strRef>
          </c:tx>
          <c:spPr>
            <a:ln w="28575" cap="rnd">
              <a:solidFill>
                <a:schemeClr val="accent2"/>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Urban'!$C$3:$C$9,'Covid Impact Urban'!$C$15:$C$17)</c:f>
              <c:numCache>
                <c:formatCode>0.00%</c:formatCode>
                <c:ptCount val="10"/>
                <c:pt idx="0">
                  <c:v>5.4976303317535516E-2</c:v>
                </c:pt>
                <c:pt idx="1">
                  <c:v>-4.3010752688172019E-2</c:v>
                </c:pt>
                <c:pt idx="2">
                  <c:v>6.4575645756456516E-3</c:v>
                </c:pt>
                <c:pt idx="3">
                  <c:v>6.4516129032258063E-2</c:v>
                </c:pt>
                <c:pt idx="4">
                  <c:v>1.5570934256055463E-2</c:v>
                </c:pt>
                <c:pt idx="5">
                  <c:v>1.1884550084889691E-2</c:v>
                </c:pt>
                <c:pt idx="6">
                  <c:v>4.4203502919099226E-2</c:v>
                </c:pt>
                <c:pt idx="7">
                  <c:v>0.12760834670947035</c:v>
                </c:pt>
                <c:pt idx="8">
                  <c:v>8.0451658433309856E-2</c:v>
                </c:pt>
                <c:pt idx="9">
                  <c:v>3.6316472114137632E-2</c:v>
                </c:pt>
              </c:numCache>
            </c:numRef>
          </c:val>
          <c:smooth val="0"/>
          <c:extLst>
            <c:ext xmlns:c16="http://schemas.microsoft.com/office/drawing/2014/chart" uri="{C3380CC4-5D6E-409C-BE32-E72D297353CC}">
              <c16:uniqueId val="{00000001-82B7-4510-BC00-E6FBB40FC359}"/>
            </c:ext>
          </c:extLst>
        </c:ser>
        <c:ser>
          <c:idx val="2"/>
          <c:order val="2"/>
          <c:tx>
            <c:strRef>
              <c:f>'Covid Impact Urban'!$D$2</c:f>
              <c:strCache>
                <c:ptCount val="1"/>
                <c:pt idx="0">
                  <c:v>Clothing and Personal Care</c:v>
                </c:pt>
              </c:strCache>
            </c:strRef>
          </c:tx>
          <c:spPr>
            <a:ln w="28575" cap="rnd">
              <a:solidFill>
                <a:schemeClr val="accent3"/>
              </a:solidFill>
              <a:round/>
            </a:ln>
            <a:effectLst/>
          </c:spPr>
          <c:marker>
            <c:symbol val="none"/>
          </c:marker>
          <c:cat>
            <c:numRef>
              <c:f>('Covid Impact Urban'!$A$3:$A$9,'Covid Impact Urban'!$A$15:$A$17)</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Urban'!$D$3:$D$9,'Covid Impact Urban'!$D$15:$D$17)</c:f>
              <c:numCache>
                <c:formatCode>0.00%</c:formatCode>
                <c:ptCount val="10"/>
                <c:pt idx="0">
                  <c:v>5.7765151515151596E-2</c:v>
                </c:pt>
                <c:pt idx="1">
                  <c:v>3.5204991087344054E-2</c:v>
                </c:pt>
                <c:pt idx="2">
                  <c:v>4.005167958656336E-2</c:v>
                </c:pt>
                <c:pt idx="3">
                  <c:v>3.4624896949711485E-2</c:v>
                </c:pt>
                <c:pt idx="4">
                  <c:v>3.8201352964584025E-2</c:v>
                </c:pt>
                <c:pt idx="5">
                  <c:v>4.7728140511645673E-2</c:v>
                </c:pt>
                <c:pt idx="6">
                  <c:v>5.3265231667274586E-2</c:v>
                </c:pt>
                <c:pt idx="7">
                  <c:v>6.0501890684083959E-2</c:v>
                </c:pt>
                <c:pt idx="8">
                  <c:v>6.5365853658536657E-2</c:v>
                </c:pt>
                <c:pt idx="9">
                  <c:v>8.4112149532710206E-2</c:v>
                </c:pt>
              </c:numCache>
            </c:numRef>
          </c:val>
          <c:smooth val="0"/>
          <c:extLst>
            <c:ext xmlns:c16="http://schemas.microsoft.com/office/drawing/2014/chart" uri="{C3380CC4-5D6E-409C-BE32-E72D297353CC}">
              <c16:uniqueId val="{00000002-82B7-4510-BC00-E6FBB40FC359}"/>
            </c:ext>
          </c:extLst>
        </c:ser>
        <c:dLbls>
          <c:showLegendKey val="0"/>
          <c:showVal val="0"/>
          <c:showCatName val="0"/>
          <c:showSerName val="0"/>
          <c:showPercent val="0"/>
          <c:showBubbleSize val="0"/>
        </c:dLbls>
        <c:smooth val="0"/>
        <c:axId val="1248821376"/>
        <c:axId val="1248821856"/>
      </c:lineChart>
      <c:catAx>
        <c:axId val="12488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21856"/>
        <c:crosses val="autoZero"/>
        <c:auto val="1"/>
        <c:lblAlgn val="ctr"/>
        <c:lblOffset val="100"/>
        <c:noMultiLvlLbl val="0"/>
      </c:catAx>
      <c:valAx>
        <c:axId val="12488218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21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Rural Inflation</a:t>
            </a:r>
            <a:r>
              <a:rPr lang="en-IN" sz="1200" b="1" baseline="0">
                <a:solidFill>
                  <a:schemeClr val="tx1">
                    <a:lumMod val="95000"/>
                    <a:lumOff val="5000"/>
                  </a:schemeClr>
                </a:solidFill>
              </a:rPr>
              <a:t> trend showing covid impact</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1393471717054351"/>
          <c:y val="0.13912663303397699"/>
          <c:w val="0.84649116824129134"/>
          <c:h val="0.68848103709438047"/>
        </c:manualLayout>
      </c:layout>
      <c:lineChart>
        <c:grouping val="standard"/>
        <c:varyColors val="0"/>
        <c:ser>
          <c:idx val="0"/>
          <c:order val="0"/>
          <c:tx>
            <c:strRef>
              <c:f>'Covid impact Rural'!$E$2</c:f>
              <c:strCache>
                <c:ptCount val="1"/>
                <c:pt idx="0">
                  <c:v>Food</c:v>
                </c:pt>
              </c:strCache>
            </c:strRef>
          </c:tx>
          <c:spPr>
            <a:ln w="28575" cap="rnd">
              <a:solidFill>
                <a:schemeClr val="accent1"/>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Rural'!$E$3:$E$9,'Covid impact Rural'!$E$14:$E$16)</c:f>
              <c:numCache>
                <c:formatCode>0.00%</c:formatCode>
                <c:ptCount val="10"/>
                <c:pt idx="0">
                  <c:v>8.1613508442776761E-2</c:v>
                </c:pt>
                <c:pt idx="1">
                  <c:v>5.6798623063683253E-2</c:v>
                </c:pt>
                <c:pt idx="2">
                  <c:v>5.8489033306255218E-2</c:v>
                </c:pt>
                <c:pt idx="3">
                  <c:v>2.4539877300613407E-2</c:v>
                </c:pt>
                <c:pt idx="4">
                  <c:v>3.9730134932533606E-2</c:v>
                </c:pt>
                <c:pt idx="5">
                  <c:v>-1.0101010101010142E-2</c:v>
                </c:pt>
                <c:pt idx="6">
                  <c:v>9.1041514930808434E-2</c:v>
                </c:pt>
                <c:pt idx="7">
                  <c:v>4.3859649122807022E-2</c:v>
                </c:pt>
                <c:pt idx="8">
                  <c:v>6.0841423948220098E-2</c:v>
                </c:pt>
                <c:pt idx="9">
                  <c:v>4.9219687875150166E-2</c:v>
                </c:pt>
              </c:numCache>
            </c:numRef>
          </c:val>
          <c:smooth val="0"/>
          <c:extLst>
            <c:ext xmlns:c16="http://schemas.microsoft.com/office/drawing/2014/chart" uri="{C3380CC4-5D6E-409C-BE32-E72D297353CC}">
              <c16:uniqueId val="{00000000-69F4-4068-8592-8A581205532F}"/>
            </c:ext>
          </c:extLst>
        </c:ser>
        <c:ser>
          <c:idx val="1"/>
          <c:order val="1"/>
          <c:tx>
            <c:strRef>
              <c:f>'Covid impact Rural'!$F$2</c:f>
              <c:strCache>
                <c:ptCount val="1"/>
                <c:pt idx="0">
                  <c:v>Health</c:v>
                </c:pt>
              </c:strCache>
            </c:strRef>
          </c:tx>
          <c:spPr>
            <a:ln w="28575" cap="rnd">
              <a:solidFill>
                <a:schemeClr val="accent2"/>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Rural'!$F$3:$F$9,'Covid impact Rural'!$F$14:$F$16)</c:f>
              <c:numCache>
                <c:formatCode>0.00%</c:formatCode>
                <c:ptCount val="10"/>
                <c:pt idx="0">
                  <c:v>5.9216809933142336E-2</c:v>
                </c:pt>
                <c:pt idx="1">
                  <c:v>5.6552962298025103E-2</c:v>
                </c:pt>
                <c:pt idx="2">
                  <c:v>5.1607445008460186E-2</c:v>
                </c:pt>
                <c:pt idx="3">
                  <c:v>4.2467948717948699E-2</c:v>
                </c:pt>
                <c:pt idx="4">
                  <c:v>4.2879019908116343E-2</c:v>
                </c:pt>
                <c:pt idx="5">
                  <c:v>9.6561814191660697E-2</c:v>
                </c:pt>
                <c:pt idx="6">
                  <c:v>3.8563829787233925E-2</c:v>
                </c:pt>
                <c:pt idx="7">
                  <c:v>4.8500319081046732E-2</c:v>
                </c:pt>
                <c:pt idx="8">
                  <c:v>6.5006075334143487E-2</c:v>
                </c:pt>
                <c:pt idx="9">
                  <c:v>6.0227272727272692E-2</c:v>
                </c:pt>
              </c:numCache>
            </c:numRef>
          </c:val>
          <c:smooth val="0"/>
          <c:extLst>
            <c:ext xmlns:c16="http://schemas.microsoft.com/office/drawing/2014/chart" uri="{C3380CC4-5D6E-409C-BE32-E72D297353CC}">
              <c16:uniqueId val="{00000001-69F4-4068-8592-8A581205532F}"/>
            </c:ext>
          </c:extLst>
        </c:ser>
        <c:ser>
          <c:idx val="2"/>
          <c:order val="2"/>
          <c:tx>
            <c:strRef>
              <c:f>'Covid impact Rural'!$G$2</c:f>
              <c:strCache>
                <c:ptCount val="1"/>
                <c:pt idx="0">
                  <c:v>Education</c:v>
                </c:pt>
              </c:strCache>
            </c:strRef>
          </c:tx>
          <c:spPr>
            <a:ln w="28575" cap="rnd">
              <a:solidFill>
                <a:schemeClr val="accent3"/>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Rural'!$G$3:$G$9,'Covid impact Rural'!$G$14:$G$16)</c:f>
              <c:numCache>
                <c:formatCode>0.00%</c:formatCode>
                <c:ptCount val="10"/>
                <c:pt idx="0">
                  <c:v>7.382550335570473E-2</c:v>
                </c:pt>
                <c:pt idx="1">
                  <c:v>5.6049822064056912E-2</c:v>
                </c:pt>
                <c:pt idx="2">
                  <c:v>6.4489112227805595E-2</c:v>
                </c:pt>
                <c:pt idx="3">
                  <c:v>5.8039215686274556E-2</c:v>
                </c:pt>
                <c:pt idx="4">
                  <c:v>4.659763313609476E-2</c:v>
                </c:pt>
                <c:pt idx="5">
                  <c:v>8.969866853538902E-2</c:v>
                </c:pt>
                <c:pt idx="6">
                  <c:v>4.1157556270096499E-2</c:v>
                </c:pt>
                <c:pt idx="7">
                  <c:v>1.4888337468982667E-2</c:v>
                </c:pt>
                <c:pt idx="8">
                  <c:v>3.968253968253968E-2</c:v>
                </c:pt>
                <c:pt idx="9">
                  <c:v>4.6307151230949625E-2</c:v>
                </c:pt>
              </c:numCache>
            </c:numRef>
          </c:val>
          <c:smooth val="0"/>
          <c:extLst>
            <c:ext xmlns:c16="http://schemas.microsoft.com/office/drawing/2014/chart" uri="{C3380CC4-5D6E-409C-BE32-E72D297353CC}">
              <c16:uniqueId val="{00000002-69F4-4068-8592-8A581205532F}"/>
            </c:ext>
          </c:extLst>
        </c:ser>
        <c:dLbls>
          <c:showLegendKey val="0"/>
          <c:showVal val="0"/>
          <c:showCatName val="0"/>
          <c:showSerName val="0"/>
          <c:showPercent val="0"/>
          <c:showBubbleSize val="0"/>
        </c:dLbls>
        <c:smooth val="0"/>
        <c:axId val="1174622336"/>
        <c:axId val="1174619936"/>
      </c:lineChart>
      <c:catAx>
        <c:axId val="1174622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19936"/>
        <c:crosses val="autoZero"/>
        <c:auto val="1"/>
        <c:lblAlgn val="ctr"/>
        <c:lblOffset val="100"/>
        <c:noMultiLvlLbl val="0"/>
      </c:catAx>
      <c:valAx>
        <c:axId val="1174619936"/>
        <c:scaling>
          <c:orientation val="minMax"/>
          <c:max val="0.1"/>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2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chemeClr val="tx1">
                    <a:lumMod val="95000"/>
                    <a:lumOff val="5000"/>
                  </a:schemeClr>
                </a:solidFill>
              </a:rPr>
              <a:t>Rural Inflation trend showing covid impact</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'Covid impact Rural'!$B$2</c:f>
              <c:strCache>
                <c:ptCount val="1"/>
                <c:pt idx="0">
                  <c:v>Energy</c:v>
                </c:pt>
              </c:strCache>
            </c:strRef>
          </c:tx>
          <c:spPr>
            <a:ln w="28575" cap="rnd">
              <a:solidFill>
                <a:schemeClr val="accent1"/>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Rural'!$B$3:$B$9,'Covid impact Rural'!$B$14:$B$16)</c:f>
              <c:numCache>
                <c:formatCode>0.00%</c:formatCode>
                <c:ptCount val="10"/>
                <c:pt idx="0">
                  <c:v>6.6918001885014219E-2</c:v>
                </c:pt>
                <c:pt idx="1">
                  <c:v>5.8201058201058149E-2</c:v>
                </c:pt>
                <c:pt idx="2">
                  <c:v>5.7213930348258758E-2</c:v>
                </c:pt>
                <c:pt idx="3">
                  <c:v>4.8818897637795185E-2</c:v>
                </c:pt>
                <c:pt idx="4">
                  <c:v>6.1102831594635004E-2</c:v>
                </c:pt>
                <c:pt idx="5">
                  <c:v>1.8934081346423683E-2</c:v>
                </c:pt>
                <c:pt idx="6">
                  <c:v>4.0300546448087469E-2</c:v>
                </c:pt>
                <c:pt idx="7">
                  <c:v>6.5189048239895691E-3</c:v>
                </c:pt>
                <c:pt idx="8">
                  <c:v>7.3076923076923109E-2</c:v>
                </c:pt>
                <c:pt idx="9">
                  <c:v>7.5192421551213667E-2</c:v>
                </c:pt>
              </c:numCache>
            </c:numRef>
          </c:val>
          <c:smooth val="0"/>
          <c:extLst>
            <c:ext xmlns:c16="http://schemas.microsoft.com/office/drawing/2014/chart" uri="{C3380CC4-5D6E-409C-BE32-E72D297353CC}">
              <c16:uniqueId val="{00000000-9B76-4315-884C-92BE63F0B370}"/>
            </c:ext>
          </c:extLst>
        </c:ser>
        <c:ser>
          <c:idx val="1"/>
          <c:order val="1"/>
          <c:tx>
            <c:strRef>
              <c:f>'Covid impact Rural'!$C$2</c:f>
              <c:strCache>
                <c:ptCount val="1"/>
                <c:pt idx="0">
                  <c:v>Transportation &amp; Communication</c:v>
                </c:pt>
              </c:strCache>
            </c:strRef>
          </c:tx>
          <c:spPr>
            <a:ln w="28575" cap="rnd">
              <a:solidFill>
                <a:schemeClr val="accent2"/>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Rural'!$C$3:$C$9,'Covid impact Rural'!$C$14:$C$16)</c:f>
              <c:numCache>
                <c:formatCode>0.00%</c:formatCode>
                <c:ptCount val="10"/>
                <c:pt idx="0">
                  <c:v>5.927342256214152E-2</c:v>
                </c:pt>
                <c:pt idx="1">
                  <c:v>-2.6978417266186796E-3</c:v>
                </c:pt>
                <c:pt idx="2">
                  <c:v>2.0609318996415875E-2</c:v>
                </c:pt>
                <c:pt idx="3">
                  <c:v>5.1936619718309915E-2</c:v>
                </c:pt>
                <c:pt idx="4">
                  <c:v>2.9215358931552589E-2</c:v>
                </c:pt>
                <c:pt idx="5">
                  <c:v>3.6918138041733502E-2</c:v>
                </c:pt>
                <c:pt idx="6">
                  <c:v>4.6959199384141601E-2</c:v>
                </c:pt>
                <c:pt idx="7">
                  <c:v>0.10603829160530173</c:v>
                </c:pt>
                <c:pt idx="8">
                  <c:v>6.5432914738929121E-2</c:v>
                </c:pt>
                <c:pt idx="9">
                  <c:v>4.3209876543209874E-2</c:v>
                </c:pt>
              </c:numCache>
            </c:numRef>
          </c:val>
          <c:smooth val="0"/>
          <c:extLst>
            <c:ext xmlns:c16="http://schemas.microsoft.com/office/drawing/2014/chart" uri="{C3380CC4-5D6E-409C-BE32-E72D297353CC}">
              <c16:uniqueId val="{00000001-9B76-4315-884C-92BE63F0B370}"/>
            </c:ext>
          </c:extLst>
        </c:ser>
        <c:ser>
          <c:idx val="2"/>
          <c:order val="2"/>
          <c:tx>
            <c:strRef>
              <c:f>'Covid impact Rural'!$D$2</c:f>
              <c:strCache>
                <c:ptCount val="1"/>
                <c:pt idx="0">
                  <c:v>Colthing and Personal Care</c:v>
                </c:pt>
              </c:strCache>
            </c:strRef>
          </c:tx>
          <c:spPr>
            <a:ln w="28575" cap="rnd">
              <a:solidFill>
                <a:schemeClr val="accent3"/>
              </a:solidFill>
              <a:round/>
            </a:ln>
            <a:effectLst/>
          </c:spPr>
          <c:marker>
            <c:symbol val="none"/>
          </c:marker>
          <c:cat>
            <c:numRef>
              <c:f>('Covid impact Rural'!$A$3:$A$9,'Covid impact Rural'!$A$14:$A$16)</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Rural'!$D$3:$D$9,'Covid impact Rural'!$D$14:$D$16)</c:f>
              <c:numCache>
                <c:formatCode>0.00%</c:formatCode>
                <c:ptCount val="10"/>
                <c:pt idx="0">
                  <c:v>6.4211520302171823E-2</c:v>
                </c:pt>
                <c:pt idx="1">
                  <c:v>4.2901371074745634E-2</c:v>
                </c:pt>
                <c:pt idx="2">
                  <c:v>5.8823529411764608E-2</c:v>
                </c:pt>
                <c:pt idx="3">
                  <c:v>4.8566878980891556E-2</c:v>
                </c:pt>
                <c:pt idx="4">
                  <c:v>4.7330556607345697E-2</c:v>
                </c:pt>
                <c:pt idx="5">
                  <c:v>2.5936599423631079E-2</c:v>
                </c:pt>
                <c:pt idx="6">
                  <c:v>4.0830693417810704E-2</c:v>
                </c:pt>
                <c:pt idx="7">
                  <c:v>5.3763440860215048E-2</c:v>
                </c:pt>
                <c:pt idx="8">
                  <c:v>8.397435897435894E-2</c:v>
                </c:pt>
                <c:pt idx="9">
                  <c:v>8.1167883211678699E-2</c:v>
                </c:pt>
              </c:numCache>
            </c:numRef>
          </c:val>
          <c:smooth val="0"/>
          <c:extLst>
            <c:ext xmlns:c16="http://schemas.microsoft.com/office/drawing/2014/chart" uri="{C3380CC4-5D6E-409C-BE32-E72D297353CC}">
              <c16:uniqueId val="{00000002-9B76-4315-884C-92BE63F0B370}"/>
            </c:ext>
          </c:extLst>
        </c:ser>
        <c:dLbls>
          <c:showLegendKey val="0"/>
          <c:showVal val="0"/>
          <c:showCatName val="0"/>
          <c:showSerName val="0"/>
          <c:showPercent val="0"/>
          <c:showBubbleSize val="0"/>
        </c:dLbls>
        <c:smooth val="0"/>
        <c:axId val="1261674560"/>
        <c:axId val="1261658720"/>
      </c:lineChart>
      <c:catAx>
        <c:axId val="126167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58720"/>
        <c:crosses val="autoZero"/>
        <c:auto val="1"/>
        <c:lblAlgn val="ctr"/>
        <c:lblOffset val="100"/>
        <c:noMultiLvlLbl val="0"/>
      </c:catAx>
      <c:valAx>
        <c:axId val="1261658720"/>
        <c:scaling>
          <c:orientation val="minMax"/>
          <c:max val="0.1200000000000000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7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Rural+Urban Combined Inflation Trend with covid impact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'Covid impact- Rural+Urban'!$F$1</c:f>
              <c:strCache>
                <c:ptCount val="1"/>
                <c:pt idx="0">
                  <c:v>Health</c:v>
                </c:pt>
              </c:strCache>
            </c:strRef>
          </c:tx>
          <c:spPr>
            <a:ln w="22225" cap="rnd" cmpd="sng" algn="ctr">
              <a:solidFill>
                <a:schemeClr val="accent1"/>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Rural+Urban'!$F$2:$F$11</c:f>
              <c:numCache>
                <c:formatCode>0.00%</c:formatCode>
                <c:ptCount val="10"/>
                <c:pt idx="0">
                  <c:v>5.5290753098188719E-2</c:v>
                </c:pt>
                <c:pt idx="1">
                  <c:v>4.5863309352517936E-2</c:v>
                </c:pt>
                <c:pt idx="2">
                  <c:v>4.9700085689802886E-2</c:v>
                </c:pt>
                <c:pt idx="3">
                  <c:v>3.6615134255492267E-2</c:v>
                </c:pt>
                <c:pt idx="4">
                  <c:v>4.6948356807511853E-2</c:v>
                </c:pt>
                <c:pt idx="5">
                  <c:v>8.4139985107967108E-2</c:v>
                </c:pt>
                <c:pt idx="6">
                  <c:v>3.761969904240766E-2</c:v>
                </c:pt>
                <c:pt idx="7">
                  <c:v>5.9093893630991462E-2</c:v>
                </c:pt>
                <c:pt idx="8">
                  <c:v>6.4935064935064943E-2</c:v>
                </c:pt>
                <c:pt idx="9">
                  <c:v>6.589595375722547E-2</c:v>
                </c:pt>
              </c:numCache>
            </c:numRef>
          </c:val>
          <c:smooth val="0"/>
          <c:extLst>
            <c:ext xmlns:c16="http://schemas.microsoft.com/office/drawing/2014/chart" uri="{C3380CC4-5D6E-409C-BE32-E72D297353CC}">
              <c16:uniqueId val="{00000000-DAB5-47CE-B219-1F6D0E5E8710}"/>
            </c:ext>
          </c:extLst>
        </c:ser>
        <c:ser>
          <c:idx val="1"/>
          <c:order val="1"/>
          <c:tx>
            <c:strRef>
              <c:f>'Covid impact- Rural+Urban'!$G$1</c:f>
              <c:strCache>
                <c:ptCount val="1"/>
                <c:pt idx="0">
                  <c:v>Transportation &amp; Communication</c:v>
                </c:pt>
              </c:strCache>
            </c:strRef>
          </c:tx>
          <c:spPr>
            <a:ln w="22225" cap="rnd" cmpd="sng" algn="ctr">
              <a:solidFill>
                <a:schemeClr val="accent2"/>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Rural+Urban'!$G$2:$G$11</c:f>
              <c:numCache>
                <c:formatCode>0.00%</c:formatCode>
                <c:ptCount val="10"/>
                <c:pt idx="0">
                  <c:v>5.7088487155090392E-2</c:v>
                </c:pt>
                <c:pt idx="1">
                  <c:v>-2.4236983842010795E-2</c:v>
                </c:pt>
                <c:pt idx="2">
                  <c:v>1.364877161055505E-2</c:v>
                </c:pt>
                <c:pt idx="3">
                  <c:v>5.8611361587015326E-2</c:v>
                </c:pt>
                <c:pt idx="4">
                  <c:v>2.2108843537415039E-2</c:v>
                </c:pt>
                <c:pt idx="5">
                  <c:v>2.3966942148760377E-2</c:v>
                </c:pt>
                <c:pt idx="6">
                  <c:v>4.5746388443017795E-2</c:v>
                </c:pt>
                <c:pt idx="7">
                  <c:v>0.11701308698999222</c:v>
                </c:pt>
                <c:pt idx="8">
                  <c:v>7.3187414500684111E-2</c:v>
                </c:pt>
                <c:pt idx="9">
                  <c:v>3.9898670044331744E-2</c:v>
                </c:pt>
              </c:numCache>
            </c:numRef>
          </c:val>
          <c:smooth val="0"/>
          <c:extLst>
            <c:ext xmlns:c16="http://schemas.microsoft.com/office/drawing/2014/chart" uri="{C3380CC4-5D6E-409C-BE32-E72D297353CC}">
              <c16:uniqueId val="{00000001-DAB5-47CE-B219-1F6D0E5E8710}"/>
            </c:ext>
          </c:extLst>
        </c:ser>
        <c:ser>
          <c:idx val="2"/>
          <c:order val="2"/>
          <c:tx>
            <c:strRef>
              <c:f>'Covid impact- Rural+Urban'!$H$1</c:f>
              <c:strCache>
                <c:ptCount val="1"/>
                <c:pt idx="0">
                  <c:v>Clothing and Personal Care</c:v>
                </c:pt>
              </c:strCache>
            </c:strRef>
          </c:tx>
          <c:spPr>
            <a:ln w="22225" cap="rnd" cmpd="sng" algn="ctr">
              <a:solidFill>
                <a:schemeClr val="accent3"/>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Rural+Urban'!$H$2:$H$11</c:f>
              <c:numCache>
                <c:formatCode>0.00%</c:formatCode>
                <c:ptCount val="10"/>
                <c:pt idx="0">
                  <c:v>6.143667296786403E-2</c:v>
                </c:pt>
                <c:pt idx="1">
                  <c:v>4.0372670807453388E-2</c:v>
                </c:pt>
                <c:pt idx="2">
                  <c:v>5.1555176821474202E-2</c:v>
                </c:pt>
                <c:pt idx="3">
                  <c:v>4.3179983857949911E-2</c:v>
                </c:pt>
                <c:pt idx="4">
                  <c:v>4.3629343629343675E-2</c:v>
                </c:pt>
                <c:pt idx="5">
                  <c:v>3.4279395503133317E-2</c:v>
                </c:pt>
                <c:pt idx="6">
                  <c:v>4.5697965012495373E-2</c:v>
                </c:pt>
                <c:pt idx="7">
                  <c:v>5.6271186440678043E-2</c:v>
                </c:pt>
                <c:pt idx="8">
                  <c:v>7.6724693745970185E-2</c:v>
                </c:pt>
                <c:pt idx="9">
                  <c:v>8.2175583801359947E-2</c:v>
                </c:pt>
              </c:numCache>
            </c:numRef>
          </c:val>
          <c:smooth val="0"/>
          <c:extLst>
            <c:ext xmlns:c16="http://schemas.microsoft.com/office/drawing/2014/chart" uri="{C3380CC4-5D6E-409C-BE32-E72D297353CC}">
              <c16:uniqueId val="{00000002-DAB5-47CE-B219-1F6D0E5E871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636448112"/>
        <c:axId val="1636438992"/>
      </c:lineChart>
      <c:catAx>
        <c:axId val="16364481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36438992"/>
        <c:crosses val="autoZero"/>
        <c:auto val="1"/>
        <c:lblAlgn val="ctr"/>
        <c:lblOffset val="100"/>
        <c:noMultiLvlLbl val="0"/>
      </c:catAx>
      <c:valAx>
        <c:axId val="1636438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36448112"/>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Rural+Urban combined Inflation Trend with covid impact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'Covid impact- Rural+Urban'!$B$1</c:f>
              <c:strCache>
                <c:ptCount val="1"/>
                <c:pt idx="0">
                  <c:v>Food</c:v>
                </c:pt>
              </c:strCache>
            </c:strRef>
          </c:tx>
          <c:spPr>
            <a:ln w="22225" cap="rnd" cmpd="sng" algn="ctr">
              <a:solidFill>
                <a:schemeClr val="accent1"/>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Rural+Urban'!$B$2:$B$11</c:f>
              <c:numCache>
                <c:formatCode>0.00%</c:formatCode>
                <c:ptCount val="10"/>
                <c:pt idx="0">
                  <c:v>7.8578110383535932E-2</c:v>
                </c:pt>
                <c:pt idx="1">
                  <c:v>6.0292850990525414E-2</c:v>
                </c:pt>
                <c:pt idx="2">
                  <c:v>5.2674230145867099E-2</c:v>
                </c:pt>
                <c:pt idx="3">
                  <c:v>2.465331278890592E-2</c:v>
                </c:pt>
                <c:pt idx="4">
                  <c:v>3.3809166040571E-2</c:v>
                </c:pt>
                <c:pt idx="5">
                  <c:v>2.1865889212828817E-3</c:v>
                </c:pt>
                <c:pt idx="6">
                  <c:v>8.9790007241129663E-2</c:v>
                </c:pt>
                <c:pt idx="7">
                  <c:v>5.3727333781061114E-2</c:v>
                </c:pt>
                <c:pt idx="8">
                  <c:v>6.0625398851308236E-2</c:v>
                </c:pt>
                <c:pt idx="9">
                  <c:v>5.1068883610451268E-2</c:v>
                </c:pt>
              </c:numCache>
            </c:numRef>
          </c:val>
          <c:smooth val="0"/>
          <c:extLst>
            <c:ext xmlns:c16="http://schemas.microsoft.com/office/drawing/2014/chart" uri="{C3380CC4-5D6E-409C-BE32-E72D297353CC}">
              <c16:uniqueId val="{00000000-1FF3-4A00-8DC8-FB47F1E4B440}"/>
            </c:ext>
          </c:extLst>
        </c:ser>
        <c:ser>
          <c:idx val="1"/>
          <c:order val="1"/>
          <c:tx>
            <c:strRef>
              <c:f>'Covid impact- Rural+Urban'!$C$1</c:f>
              <c:strCache>
                <c:ptCount val="1"/>
                <c:pt idx="0">
                  <c:v>Housing</c:v>
                </c:pt>
              </c:strCache>
            </c:strRef>
          </c:tx>
          <c:spPr>
            <a:ln w="22225" cap="rnd" cmpd="sng" algn="ctr">
              <a:solidFill>
                <a:schemeClr val="accent2"/>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Rural+Urban'!$C$2:$C$11</c:f>
              <c:numCache>
                <c:formatCode>0.00%</c:formatCode>
                <c:ptCount val="10"/>
                <c:pt idx="0">
                  <c:v>0.12051792828685252</c:v>
                </c:pt>
                <c:pt idx="1">
                  <c:v>4.3286219081272011E-2</c:v>
                </c:pt>
                <c:pt idx="2">
                  <c:v>4.8903878583473961E-2</c:v>
                </c:pt>
                <c:pt idx="3">
                  <c:v>4.483586869495592E-2</c:v>
                </c:pt>
                <c:pt idx="4">
                  <c:v>7.7803203661327369E-2</c:v>
                </c:pt>
                <c:pt idx="5">
                  <c:v>4.5774647887323945E-2</c:v>
                </c:pt>
                <c:pt idx="6">
                  <c:v>3.8926174496644372E-2</c:v>
                </c:pt>
                <c:pt idx="7">
                  <c:v>3.4304207119741172E-2</c:v>
                </c:pt>
                <c:pt idx="8">
                  <c:v>3.5021888680425231E-2</c:v>
                </c:pt>
                <c:pt idx="9">
                  <c:v>4.9606775559588555E-2</c:v>
                </c:pt>
              </c:numCache>
            </c:numRef>
          </c:val>
          <c:smooth val="0"/>
          <c:extLst>
            <c:ext xmlns:c16="http://schemas.microsoft.com/office/drawing/2014/chart" uri="{C3380CC4-5D6E-409C-BE32-E72D297353CC}">
              <c16:uniqueId val="{00000001-1FF3-4A00-8DC8-FB47F1E4B440}"/>
            </c:ext>
          </c:extLst>
        </c:ser>
        <c:ser>
          <c:idx val="2"/>
          <c:order val="2"/>
          <c:tx>
            <c:strRef>
              <c:f>'Covid impact- Rural+Urban'!$D$1</c:f>
              <c:strCache>
                <c:ptCount val="1"/>
                <c:pt idx="0">
                  <c:v>Education</c:v>
                </c:pt>
              </c:strCache>
            </c:strRef>
          </c:tx>
          <c:spPr>
            <a:ln w="22225" cap="rnd" cmpd="sng" algn="ctr">
              <a:solidFill>
                <a:schemeClr val="accent3"/>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Rural+Urban'!$D$2:$D$11</c:f>
              <c:numCache>
                <c:formatCode>0.00%</c:formatCode>
                <c:ptCount val="10"/>
                <c:pt idx="0">
                  <c:v>7.4999999999999969E-2</c:v>
                </c:pt>
                <c:pt idx="1">
                  <c:v>6.8750000000000019E-2</c:v>
                </c:pt>
                <c:pt idx="2">
                  <c:v>5.4121565362198171E-2</c:v>
                </c:pt>
                <c:pt idx="3">
                  <c:v>5.1221434200157602E-2</c:v>
                </c:pt>
                <c:pt idx="4">
                  <c:v>3.8863976083706939E-2</c:v>
                </c:pt>
                <c:pt idx="5">
                  <c:v>7.5107296137339047E-2</c:v>
                </c:pt>
                <c:pt idx="6">
                  <c:v>3.9254823685961254E-2</c:v>
                </c:pt>
                <c:pt idx="7">
                  <c:v>2.1780909673286393E-2</c:v>
                </c:pt>
                <c:pt idx="8">
                  <c:v>3.2459425717852791E-2</c:v>
                </c:pt>
                <c:pt idx="9">
                  <c:v>5.4216867469879519E-2</c:v>
                </c:pt>
              </c:numCache>
            </c:numRef>
          </c:val>
          <c:smooth val="0"/>
          <c:extLst>
            <c:ext xmlns:c16="http://schemas.microsoft.com/office/drawing/2014/chart" uri="{C3380CC4-5D6E-409C-BE32-E72D297353CC}">
              <c16:uniqueId val="{00000002-1FF3-4A00-8DC8-FB47F1E4B440}"/>
            </c:ext>
          </c:extLst>
        </c:ser>
        <c:ser>
          <c:idx val="3"/>
          <c:order val="3"/>
          <c:tx>
            <c:strRef>
              <c:f>'Covid impact- Rural+Urban'!$E$1</c:f>
              <c:strCache>
                <c:ptCount val="1"/>
                <c:pt idx="0">
                  <c:v>Energy</c:v>
                </c:pt>
              </c:strCache>
            </c:strRef>
          </c:tx>
          <c:spPr>
            <a:ln w="22225" cap="rnd" cmpd="sng" algn="ctr">
              <a:solidFill>
                <a:schemeClr val="accent4"/>
              </a:solidFill>
              <a:round/>
            </a:ln>
            <a:effectLst/>
          </c:spPr>
          <c:marker>
            <c:symbol val="none"/>
          </c:marker>
          <c:cat>
            <c:numRef>
              <c:f>'Covid impact- Rural+Urban'!$A$2:$A$11</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'Covid impact- Rural+Urban'!$E$2:$E$11</c:f>
              <c:numCache>
                <c:formatCode>0.00%</c:formatCode>
                <c:ptCount val="10"/>
                <c:pt idx="0">
                  <c:v>5.9377945334590121E-2</c:v>
                </c:pt>
                <c:pt idx="1">
                  <c:v>4.6222222222222248E-2</c:v>
                </c:pt>
                <c:pt idx="2">
                  <c:v>4.0574809805579017E-2</c:v>
                </c:pt>
                <c:pt idx="3">
                  <c:v>4.4934640522875817E-2</c:v>
                </c:pt>
                <c:pt idx="4">
                  <c:v>5.8869093725793915E-2</c:v>
                </c:pt>
                <c:pt idx="5">
                  <c:v>1.3919413919413962E-2</c:v>
                </c:pt>
                <c:pt idx="6">
                  <c:v>5.368647100930566E-2</c:v>
                </c:pt>
                <c:pt idx="7">
                  <c:v>2.3505708529214239E-2</c:v>
                </c:pt>
                <c:pt idx="8">
                  <c:v>6.559485530546616E-2</c:v>
                </c:pt>
                <c:pt idx="9">
                  <c:v>8.9114832535885202E-2</c:v>
                </c:pt>
              </c:numCache>
            </c:numRef>
          </c:val>
          <c:smooth val="0"/>
          <c:extLst>
            <c:ext xmlns:c16="http://schemas.microsoft.com/office/drawing/2014/chart" uri="{C3380CC4-5D6E-409C-BE32-E72D297353CC}">
              <c16:uniqueId val="{00000003-1FF3-4A00-8DC8-FB47F1E4B44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692585039"/>
        <c:axId val="692591759"/>
      </c:lineChart>
      <c:catAx>
        <c:axId val="6925850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92591759"/>
        <c:crosses val="autoZero"/>
        <c:auto val="1"/>
        <c:lblAlgn val="ctr"/>
        <c:lblOffset val="100"/>
        <c:noMultiLvlLbl val="0"/>
      </c:catAx>
      <c:valAx>
        <c:axId val="6925917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92585039"/>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340517</xdr:colOff>
      <xdr:row>12</xdr:row>
      <xdr:rowOff>152399</xdr:rowOff>
    </xdr:from>
    <xdr:to>
      <xdr:col>13</xdr:col>
      <xdr:colOff>42863</xdr:colOff>
      <xdr:row>26</xdr:row>
      <xdr:rowOff>14286</xdr:rowOff>
    </xdr:to>
    <xdr:graphicFrame macro="">
      <xdr:nvGraphicFramePr>
        <xdr:cNvPr id="2" name="Chart 1">
          <a:extLst>
            <a:ext uri="{FF2B5EF4-FFF2-40B4-BE49-F238E27FC236}">
              <a16:creationId xmlns:a16="http://schemas.microsoft.com/office/drawing/2014/main" id="{364D38FC-3F40-D3B7-C578-7D7BB2EA4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369093</xdr:colOff>
      <xdr:row>1</xdr:row>
      <xdr:rowOff>104775</xdr:rowOff>
    </xdr:from>
    <xdr:to>
      <xdr:col>17</xdr:col>
      <xdr:colOff>390525</xdr:colOff>
      <xdr:row>21</xdr:row>
      <xdr:rowOff>57150</xdr:rowOff>
    </xdr:to>
    <xdr:graphicFrame macro="">
      <xdr:nvGraphicFramePr>
        <xdr:cNvPr id="4" name="Chart 3">
          <a:extLst>
            <a:ext uri="{FF2B5EF4-FFF2-40B4-BE49-F238E27FC236}">
              <a16:creationId xmlns:a16="http://schemas.microsoft.com/office/drawing/2014/main" id="{0EC141C4-792D-225F-71C7-9B1456BF6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445293</xdr:colOff>
      <xdr:row>13</xdr:row>
      <xdr:rowOff>119062</xdr:rowOff>
    </xdr:from>
    <xdr:to>
      <xdr:col>7</xdr:col>
      <xdr:colOff>745330</xdr:colOff>
      <xdr:row>28</xdr:row>
      <xdr:rowOff>147637</xdr:rowOff>
    </xdr:to>
    <xdr:graphicFrame macro="">
      <xdr:nvGraphicFramePr>
        <xdr:cNvPr id="2" name="Chart 1">
          <a:extLst>
            <a:ext uri="{FF2B5EF4-FFF2-40B4-BE49-F238E27FC236}">
              <a16:creationId xmlns:a16="http://schemas.microsoft.com/office/drawing/2014/main" id="{A72C909B-DED3-5935-9590-EE45208B3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150018</xdr:colOff>
      <xdr:row>18</xdr:row>
      <xdr:rowOff>38100</xdr:rowOff>
    </xdr:from>
    <xdr:to>
      <xdr:col>5</xdr:col>
      <xdr:colOff>142875</xdr:colOff>
      <xdr:row>31</xdr:row>
      <xdr:rowOff>123825</xdr:rowOff>
    </xdr:to>
    <xdr:graphicFrame macro="">
      <xdr:nvGraphicFramePr>
        <xdr:cNvPr id="2" name="Chart 1">
          <a:extLst>
            <a:ext uri="{FF2B5EF4-FFF2-40B4-BE49-F238E27FC236}">
              <a16:creationId xmlns:a16="http://schemas.microsoft.com/office/drawing/2014/main" id="{4615D823-9BAB-E57D-8571-991003771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445293</xdr:colOff>
      <xdr:row>18</xdr:row>
      <xdr:rowOff>52387</xdr:rowOff>
    </xdr:from>
    <xdr:to>
      <xdr:col>7</xdr:col>
      <xdr:colOff>1990725</xdr:colOff>
      <xdr:row>31</xdr:row>
      <xdr:rowOff>161925</xdr:rowOff>
    </xdr:to>
    <xdr:graphicFrame macro="">
      <xdr:nvGraphicFramePr>
        <xdr:cNvPr id="3" name="Chart 2">
          <a:extLst>
            <a:ext uri="{FF2B5EF4-FFF2-40B4-BE49-F238E27FC236}">
              <a16:creationId xmlns:a16="http://schemas.microsoft.com/office/drawing/2014/main" id="{5D389B1A-E6F8-90D4-DD98-AC290BF41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164306</xdr:colOff>
      <xdr:row>17</xdr:row>
      <xdr:rowOff>66675</xdr:rowOff>
    </xdr:from>
    <xdr:to>
      <xdr:col>5</xdr:col>
      <xdr:colOff>128588</xdr:colOff>
      <xdr:row>30</xdr:row>
      <xdr:rowOff>100013</xdr:rowOff>
    </xdr:to>
    <xdr:graphicFrame macro="">
      <xdr:nvGraphicFramePr>
        <xdr:cNvPr id="3" name="Chart 2">
          <a:extLst>
            <a:ext uri="{FF2B5EF4-FFF2-40B4-BE49-F238E27FC236}">
              <a16:creationId xmlns:a16="http://schemas.microsoft.com/office/drawing/2014/main" id="{6C807000-B4AF-2F9B-C938-3362745F4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345280</xdr:colOff>
      <xdr:row>17</xdr:row>
      <xdr:rowOff>95250</xdr:rowOff>
    </xdr:from>
    <xdr:to>
      <xdr:col>13</xdr:col>
      <xdr:colOff>409575</xdr:colOff>
      <xdr:row>31</xdr:row>
      <xdr:rowOff>38100</xdr:rowOff>
    </xdr:to>
    <xdr:graphicFrame macro="">
      <xdr:nvGraphicFramePr>
        <xdr:cNvPr id="5" name="Chart 4">
          <a:extLst>
            <a:ext uri="{FF2B5EF4-FFF2-40B4-BE49-F238E27FC236}">
              <a16:creationId xmlns:a16="http://schemas.microsoft.com/office/drawing/2014/main" id="{1D1395AE-C71E-47D1-68F8-8042E89AC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245268</xdr:colOff>
      <xdr:row>12</xdr:row>
      <xdr:rowOff>52388</xdr:rowOff>
    </xdr:from>
    <xdr:to>
      <xdr:col>3</xdr:col>
      <xdr:colOff>1171575</xdr:colOff>
      <xdr:row>26</xdr:row>
      <xdr:rowOff>38100</xdr:rowOff>
    </xdr:to>
    <xdr:graphicFrame macro="">
      <xdr:nvGraphicFramePr>
        <xdr:cNvPr id="2" name="Chart 1">
          <a:extLst>
            <a:ext uri="{FF2B5EF4-FFF2-40B4-BE49-F238E27FC236}">
              <a16:creationId xmlns:a16="http://schemas.microsoft.com/office/drawing/2014/main" id="{F148F51C-971F-3ED6-D0D0-2DA52E943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326230</xdr:colOff>
      <xdr:row>12</xdr:row>
      <xdr:rowOff>85724</xdr:rowOff>
    </xdr:from>
    <xdr:to>
      <xdr:col>7</xdr:col>
      <xdr:colOff>919162</xdr:colOff>
      <xdr:row>25</xdr:row>
      <xdr:rowOff>166686</xdr:rowOff>
    </xdr:to>
    <xdr:graphicFrame macro="">
      <xdr:nvGraphicFramePr>
        <xdr:cNvPr id="3" name="Chart 2">
          <a:extLst>
            <a:ext uri="{FF2B5EF4-FFF2-40B4-BE49-F238E27FC236}">
              <a16:creationId xmlns:a16="http://schemas.microsoft.com/office/drawing/2014/main" id="{BB9B21F6-03D6-49A7-4E00-38BC7B873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328613</xdr:colOff>
      <xdr:row>7</xdr:row>
      <xdr:rowOff>4762</xdr:rowOff>
    </xdr:to>
    <xdr:pic>
      <xdr:nvPicPr>
        <xdr:cNvPr id="2" name="Picture 1">
          <a:extLst>
            <a:ext uri="{FF2B5EF4-FFF2-40B4-BE49-F238E27FC236}">
              <a16:creationId xmlns:a16="http://schemas.microsoft.com/office/drawing/2014/main" id="{8E1C6C49-E9CE-4580-B044-3BD0B665D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313"/>
          <a:ext cx="966788" cy="1071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Pawandeep Singh" id="{F8ADE5D3-A6B4-4B90-A8E4-40F47E6A5BA9}" userId="e6f68f67d06e80b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1.576247453704" createdVersion="8" refreshedVersion="8" minRefreshableVersion="3" recordCount="372" xr:uid="{0141FCC8-CC5A-49C6-922A-FF4CD00768D0}">
  <cacheSource type="worksheet">
    <worksheetSource ref="A1:AO373" sheet="Processed data"/>
  </cacheSource>
  <cacheFields count="41">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u="1"/>
      </sharedItems>
    </cacheField>
    <cacheField name="Housing" numFmtId="0">
      <sharedItems containsMixedTypes="1" containsNumber="1" minValue="100.3" maxValue="175.6"/>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ount="283">
        <n v="103.9"/>
        <n v="102.3"/>
        <n v="103.2"/>
        <n v="104"/>
        <n v="103.1"/>
        <n v="103.6"/>
        <n v="105.7"/>
        <n v="104.9"/>
        <n v="105.3"/>
        <n v="108.3"/>
        <n v="109.5"/>
        <n v="108.9"/>
        <n v="108.1"/>
        <n v="110.6"/>
        <n v="109.3"/>
        <n v="109.2"/>
        <n v="112.4"/>
        <n v="110.7"/>
        <n v="110.3"/>
        <n v="113.2"/>
        <n v="111.7"/>
        <n v="110.8"/>
        <n v="108.7"/>
        <n v="109.8"/>
        <n v="110.9"/>
        <n v="107.3"/>
        <n v="106.2"/>
        <n v="109.9"/>
        <n v="116.6"/>
        <n v="110"/>
        <n v="113.5"/>
        <n v="115.5"/>
        <n v="113.3"/>
        <n v="112.1"/>
        <n v="113.9"/>
        <n v="114.1"/>
        <n v="115.4"/>
        <n v="119.6"/>
        <n v="117.7"/>
        <n v="118.7"/>
        <n v="125.5"/>
        <n v="126.7"/>
        <n v="126.1"/>
        <n v="126.3"/>
        <n v="129.19999999999999"/>
        <n v="127.7"/>
        <n v="125.8"/>
        <n v="131.19999999999999"/>
        <n v="128.30000000000001"/>
        <n v="129.1"/>
        <n v="133.69999999999999"/>
        <n v="129.69999999999999"/>
        <n v="132.69999999999999"/>
        <n v="131.1"/>
        <n v="129.80000000000001"/>
        <n v="124.5"/>
        <n v="127.3"/>
        <n v="128.9"/>
        <n v="123.5"/>
        <n v="126.4"/>
        <n v="128.80000000000001"/>
        <n v="122.2"/>
        <n v="125.7"/>
        <n v="128.6"/>
        <n v="122.3"/>
        <n v="130.4"/>
        <n v="121.3"/>
        <n v="126.2"/>
        <n v="129.4"/>
        <n v="121.6"/>
        <n v="130.9"/>
        <n v="123.8"/>
        <n v="127.6"/>
        <n v="134.19999999999999"/>
        <n v="130.6"/>
        <n v="132.5"/>
        <n v="134.1"/>
        <n v="130.80000000000001"/>
        <n v="132.6"/>
        <n v="133.19999999999999"/>
        <n v="132.30000000000001"/>
        <n v="132.80000000000001"/>
        <n v="133.30000000000001"/>
        <n v="133.1"/>
        <n v="130.1"/>
        <n v="124"/>
        <n v="128.4"/>
        <n v="124.1"/>
        <n v="129"/>
        <n v="132.1"/>
        <n v="123.7"/>
        <n v="128.19999999999999"/>
        <n v="131.6"/>
        <n v="120.8"/>
        <n v="126.6"/>
        <n v="119"/>
        <n v="118.6"/>
        <n v="124.9"/>
        <n v="131.69999999999999"/>
        <n v="119.9"/>
        <n v="138.1"/>
        <n v="134.80000000000001"/>
        <n v="133.5"/>
        <n v="136"/>
        <n v="137.4"/>
        <n v="135.5"/>
        <n v="136.5"/>
        <n v="138.5"/>
        <n v="137"/>
        <n v="137.80000000000001"/>
        <n v="140.19999999999999"/>
        <n v="135.80000000000001"/>
        <n v="139.19999999999999"/>
        <n v="136.1"/>
        <n v="138.4"/>
        <n v="134.69999999999999"/>
        <n v="136.9"/>
        <n v="135.6"/>
        <n v="129.30000000000001"/>
        <n v="129.6"/>
        <n v="133"/>
        <n v="138.69999999999999"/>
        <n v="131.4"/>
        <n v="135.30000000000001"/>
        <n v="139.69999999999999"/>
        <n v="136.80000000000001"/>
        <n v="138.30000000000001"/>
        <n v="141.80000000000001"/>
        <n v="137.69999999999999"/>
        <n v="139.9"/>
        <n v="135.19999999999999"/>
        <n v="137.9"/>
        <n v="140.9"/>
        <n v="137.19999999999999"/>
        <n v="143.9"/>
        <n v="139.4"/>
        <n v="148"/>
        <n v="142.69999999999999"/>
        <n v="145.5"/>
        <n v="147.80000000000001"/>
        <n v="137.5"/>
        <n v="143"/>
        <n v="146.69999999999999"/>
        <n v="141.5"/>
        <n v="147.30000000000001"/>
        <n v="136.4"/>
        <n v="142.19999999999999"/>
        <n v="147.19999999999999"/>
        <n v="135"/>
        <n v="147.9"/>
        <n v="133.80000000000001"/>
        <n v="141.30000000000001"/>
        <n v="149.4"/>
        <n v="142.9"/>
        <n v="152.9"/>
        <n v="146.19999999999999"/>
        <n v="156.4"/>
        <n v="150.1"/>
        <n v="153.5"/>
        <n v="157.5"/>
        <n v="151.30000000000001"/>
        <n v="154.6"/>
        <n v="154.1"/>
        <n v="152.19999999999999"/>
        <n v="153.19999999999999"/>
        <n v="153.30000000000001"/>
        <n v="149.69999999999999"/>
        <n v="151.6"/>
        <n v="154.4"/>
        <n v="146.30000000000001"/>
        <n v="150.6"/>
        <n v="140"/>
        <n v="145.4"/>
        <n v="144.5"/>
        <n v="139.5"/>
        <n v="142.5"/>
        <n v="142.80000000000001"/>
        <n v="135.4"/>
        <n v="137.6"/>
        <n v="143.69999999999999"/>
        <n v="146.5"/>
        <n v="143.30000000000001"/>
        <n v="150.9"/>
        <n v="146.80000000000001"/>
        <n v="146.4"/>
        <n v="154.69999999999999"/>
        <n v="150.30000000000001"/>
        <n v="153.9"/>
        <n v="143.80000000000001"/>
        <n v="149.80000000000001"/>
        <n v="146.6"/>
        <n v="145.69999999999999"/>
        <n v="148.80000000000001"/>
        <n v="147.4"/>
        <n v="144.30000000000001"/>
        <n v="144.4"/>
        <n v="143.19999999999999"/>
        <n v="140.69999999999999"/>
        <n v="143.1"/>
        <n v="149.9"/>
        <n v="143.26666666666668"/>
        <n v="146.43333333333331"/>
        <n v="144.73333333333335"/>
        <n v="151.80000000000001"/>
        <n v="146.9"/>
        <n v="154.5"/>
        <n v="150.4"/>
        <n v="147"/>
        <n v="155.4"/>
        <n v="155.69999999999999"/>
        <n v="151.19999999999999"/>
        <n v="150.5"/>
        <n v="148.4"/>
        <n v="145.9"/>
        <n v="147.69999999999999"/>
        <n v="152.6"/>
        <n v="149.6"/>
        <n v="154"/>
        <n v="150.69999999999999"/>
        <n v="157.30000000000001"/>
        <n v="153.69999999999999"/>
        <n v="160.6"/>
        <n v="168.8"/>
        <n v="164.4"/>
        <n v="162.30000000000001"/>
        <n v="172.5"/>
        <n v="167.1"/>
        <n v="158.6"/>
        <n v="171.5"/>
        <n v="164.6"/>
        <n v="157.69999999999999"/>
        <n v="170.9"/>
        <n v="163.9"/>
        <n v="161.30000000000001"/>
        <n v="156.80000000000001"/>
        <n v="152.69999999999999"/>
        <n v="161.19999999999999"/>
        <n v="156.69999999999999"/>
        <n v="159.30000000000001"/>
        <n v="160.30000000000001"/>
        <n v="156.5"/>
        <n v="152"/>
        <n v="158.30000000000001"/>
        <n v="154.9"/>
        <n v="151.4"/>
        <n v="155.9"/>
        <n v="159.6"/>
        <n v="157.6"/>
        <n v="169.7"/>
        <n v="175.9"/>
        <n v="172.6"/>
        <n v="168"/>
        <n v="174.5"/>
        <n v="171"/>
        <n v="165.8"/>
        <n v="174.1"/>
        <n v="169.6"/>
        <n v="179.5"/>
        <n v="174.2"/>
        <n v="169.2"/>
        <n v="177.1"/>
        <n v="172.9"/>
        <n v="164.1"/>
        <n v="167.5"/>
        <n v="165.7"/>
        <n v="162.19999999999999"/>
        <n v="163.80000000000001"/>
        <n v="159.1"/>
        <n v="162.6"/>
        <n v="160.69999999999999"/>
        <n v="159.5"/>
        <n v="158"/>
        <n v="156.30000000000001"/>
        <n v="160.5"/>
        <n v="167.2"/>
        <n v="172.1"/>
        <n v="169.5"/>
        <n v="173.7"/>
        <n v="179.2"/>
        <n v="176.3"/>
        <n v="169"/>
        <n v="175.8"/>
        <n v="172.2"/>
      </sharedItems>
    </cacheField>
    <cacheField name="Vegetables" numFmtId="0">
      <sharedItems containsSemiMixedTypes="0" containsString="0" containsNumber="1" minValue="101.4" maxValue="245.3" count="314">
        <n v="101.9"/>
        <n v="102.9"/>
        <n v="102.2"/>
        <n v="102.4"/>
        <n v="104.9"/>
        <n v="103.2"/>
        <n v="101.4"/>
        <n v="103.8"/>
        <n v="103.4"/>
        <n v="109.7"/>
        <n v="105.5"/>
        <n v="107.3"/>
        <n v="123.7"/>
        <n v="112.9"/>
        <n v="118"/>
        <n v="143.6"/>
        <n v="126.7"/>
        <n v="129.19999999999999"/>
        <n v="160.9"/>
        <n v="140"/>
        <n v="138.9"/>
        <n v="177"/>
        <n v="151.80000000000001"/>
        <n v="154"/>
        <n v="174.3"/>
        <n v="164.9"/>
        <n v="183.5"/>
        <n v="171.2"/>
        <n v="178.1"/>
        <n v="192.8"/>
        <n v="183.1"/>
        <n v="145.69999999999999"/>
        <n v="144.80000000000001"/>
        <n v="145.4"/>
        <n v="123.9"/>
        <n v="118.9"/>
        <n v="122.2"/>
        <n v="116"/>
        <n v="111.5"/>
        <n v="114.5"/>
        <n v="117.9"/>
        <n v="113.3"/>
        <n v="116.3"/>
        <n v="120.5"/>
        <n v="121.2"/>
        <n v="120.7"/>
        <n v="127"/>
        <n v="125"/>
        <n v="129.30000000000001"/>
        <n v="137.5"/>
        <n v="132.1"/>
        <n v="150.1"/>
        <n v="172.4"/>
        <n v="157.69999999999999"/>
        <n v="161.1"/>
        <n v="181.9"/>
        <n v="168.2"/>
        <n v="158.80000000000001"/>
        <n v="168.6"/>
        <n v="162.1"/>
        <n v="155.30000000000001"/>
        <n v="159.6"/>
        <n v="156.80000000000001"/>
        <n v="152"/>
        <n v="153.19999999999999"/>
        <n v="152.4"/>
        <n v="140.30000000000001"/>
        <n v="141"/>
        <n v="140.5"/>
        <n v="132.30000000000001"/>
        <n v="134.4"/>
        <n v="133"/>
        <n v="128.19999999999999"/>
        <n v="131.80000000000001"/>
        <n v="129.4"/>
        <n v="128"/>
        <n v="131.4"/>
        <n v="127.5"/>
        <n v="130.80000000000001"/>
        <n v="128.6"/>
        <n v="128.5"/>
        <n v="135.6"/>
        <n v="130.9"/>
        <n v="135.19999999999999"/>
        <n v="146.69999999999999"/>
        <n v="139.1"/>
        <n v="140.80000000000001"/>
        <n v="153.5"/>
        <n v="145.1"/>
        <n v="153.6"/>
        <n v="165.5"/>
        <n v="157.6"/>
        <n v="158.9"/>
        <n v="168.5"/>
        <n v="162.19999999999999"/>
        <n v="165.8"/>
        <n v="160.4"/>
        <n v="155.19999999999999"/>
        <n v="164.6"/>
        <n v="158.4"/>
        <n v="145.5"/>
        <n v="149"/>
        <n v="140.1"/>
        <n v="144.1"/>
        <n v="141.5"/>
        <n v="130.30000000000001"/>
        <n v="130.69999999999999"/>
        <n v="128.1"/>
        <n v="129.80000000000001"/>
        <n v="134.1"/>
        <n v="136.80000000000001"/>
        <n v="135"/>
        <n v="141.80000000000001"/>
        <n v="151.4"/>
        <n v="152.5"/>
        <n v="173.7"/>
        <n v="159.69999999999999"/>
        <n v="158.19999999999999"/>
        <n v="179.5"/>
        <n v="165.4"/>
        <n v="156.9"/>
        <n v="163.5"/>
        <n v="159.1"/>
        <n v="149.5"/>
        <n v="152.9"/>
        <n v="150.69999999999999"/>
        <n v="149.19999999999999"/>
        <n v="155.1"/>
        <n v="151.19999999999999"/>
        <n v="142"/>
        <n v="141.9"/>
        <n v="121.1"/>
        <n v="125.3"/>
        <n v="119.8"/>
        <n v="118.7"/>
        <n v="119.4"/>
        <n v="119.1"/>
        <n v="120.2"/>
        <n v="119.5"/>
        <n v="119.7"/>
        <n v="121.5"/>
        <n v="127.1"/>
        <n v="123.4"/>
        <n v="123.8"/>
        <n v="125.6"/>
        <n v="128.80000000000001"/>
        <n v="142.19999999999999"/>
        <n v="133.30000000000001"/>
        <n v="151.5"/>
        <n v="175.1"/>
        <n v="159.5"/>
        <n v="162.9"/>
        <n v="179.8"/>
        <n v="154.5"/>
        <n v="160.69999999999999"/>
        <n v="156.6"/>
        <n v="157.1"/>
        <n v="173.2"/>
        <n v="162.6"/>
        <n v="168"/>
        <n v="185.2"/>
        <n v="173.8"/>
        <n v="161"/>
        <n v="163.19999999999999"/>
        <n v="161.69999999999999"/>
        <n v="152.1"/>
        <n v="150.5"/>
        <n v="151.6"/>
        <n v="142.4"/>
        <n v="136.9"/>
        <n v="138"/>
        <n v="134.6"/>
        <n v="135.1"/>
        <n v="127.6"/>
        <n v="132.6"/>
        <n v="137.80000000000001"/>
        <n v="143.5"/>
        <n v="144"/>
        <n v="143.69999999999999"/>
        <n v="154.19999999999999"/>
        <n v="159.19999999999999"/>
        <n v="155.9"/>
        <n v="156.30000000000001"/>
        <n v="157.30000000000001"/>
        <n v="149.4"/>
        <n v="151.30000000000001"/>
        <n v="150"/>
        <n v="147.6"/>
        <n v="153"/>
        <n v="147.5"/>
        <n v="145.19999999999999"/>
        <n v="136.6"/>
        <n v="132.4"/>
        <n v="131.69999999999999"/>
        <n v="130.5"/>
        <n v="131.30000000000001"/>
        <n v="128.69999999999999"/>
        <n v="131.6"/>
        <n v="129.69999999999999"/>
        <n v="141.19999999999999"/>
        <n v="133.4"/>
        <n v="161.6"/>
        <n v="143"/>
        <n v="140.6"/>
        <n v="169.8"/>
        <n v="180.1"/>
        <n v="160.30000000000001"/>
        <n v="156.19999999999999"/>
        <n v="189.1"/>
        <n v="167.4"/>
        <n v="163.4"/>
        <n v="192.4"/>
        <n v="178.8"/>
        <n v="207.2"/>
        <n v="188.4"/>
        <n v="191.4"/>
        <n v="215.7"/>
        <n v="199.6"/>
        <n v="209.5"/>
        <n v="231.5"/>
        <n v="217"/>
        <n v="191.5"/>
        <n v="207.8"/>
        <n v="197"/>
        <n v="165.1"/>
        <n v="181.7"/>
        <n v="170.7"/>
        <n v="152.30000000000001"/>
        <n v="167"/>
        <n v="162.69999999999999"/>
        <n v="180"/>
        <n v="160.03333333333333"/>
        <n v="176.23333333333335"/>
        <n v="165.53333333333333"/>
        <n v="148.9"/>
        <n v="156.5"/>
        <n v="171"/>
        <n v="191.9"/>
        <n v="202"/>
        <n v="186.7"/>
        <n v="200.6"/>
        <n v="226"/>
        <n v="209.2"/>
        <n v="222.2"/>
        <n v="245.3"/>
        <n v="230"/>
        <n v="225.2"/>
        <n v="240.9"/>
        <n v="230.5"/>
        <n v="187.8"/>
        <n v="206.8"/>
        <n v="194.2"/>
        <n v="149.69999999999999"/>
        <n v="180.2"/>
        <n v="160"/>
        <n v="166.1"/>
        <n v="138.4"/>
        <n v="166.5"/>
        <n v="147.9"/>
        <n v="144.69999999999999"/>
        <n v="176.2"/>
        <n v="155.4"/>
        <n v="152.80000000000001"/>
        <n v="186.4"/>
        <n v="164.2"/>
        <n v="153.9"/>
        <n v="183.3"/>
        <n v="162.30000000000001"/>
        <n v="170.4"/>
        <n v="214.4"/>
        <n v="185.3"/>
        <n v="183.9"/>
        <n v="229.1"/>
        <n v="199.2"/>
        <n v="172.3"/>
        <n v="219.5"/>
        <n v="188.3"/>
        <n v="203.6"/>
        <n v="198"/>
        <n v="169.7"/>
        <n v="155.80000000000001"/>
        <n v="166.9"/>
        <n v="190.7"/>
        <n v="166.2"/>
        <n v="203.2"/>
        <n v="174.9"/>
        <n v="167.3"/>
        <n v="211.5"/>
        <n v="182.3"/>
        <n v="208.5"/>
        <n v="182.1"/>
        <n v="173.1"/>
        <n v="213.1"/>
        <n v="176.9"/>
        <n v="220.8"/>
        <n v="191.8"/>
        <n v="184.8"/>
        <n v="228.6"/>
        <n v="199.7"/>
        <n v="171.6"/>
        <n v="205.5"/>
        <n v="150.19999999999999"/>
        <n v="178.7"/>
        <n v="159.9"/>
        <n v="142.9"/>
        <n v="175.3"/>
        <n v="140.9"/>
        <n v="175.8"/>
        <n v="152.69999999999999"/>
        <n v="175.9"/>
        <n v="142.80000000000001"/>
        <n v="179.9"/>
        <n v="148.69999999999999"/>
        <n v="185"/>
      </sharedItems>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0">
      <sharedItems containsSemiMixedTypes="0" containsString="0" containsNumber="1" minValue="105.5" maxValue="183.3"/>
    </cacheField>
    <cacheField name="Housing2" numFmtId="0">
      <sharedItems containsMixedTypes="1" containsNumber="1" minValue="100.3" maxValue="175.6"/>
    </cacheField>
    <cacheField name="Education2" numFmtId="0">
      <sharedItems containsSemiMixedTypes="0" containsString="0" containsNumber="1" minValue="103.5" maxValue="180.3"/>
    </cacheField>
    <cacheField name="Energy" numFmtId="0">
      <sharedItems containsSemiMixedTypes="0" containsString="0" containsNumber="1" minValue="105.4" maxValue="183.4"/>
    </cacheField>
    <cacheField name="Health2" numFmtId="0">
      <sharedItems containsSemiMixedTypes="0" containsString="0" containsNumber="1" minValue="104" maxValue="187.8"/>
    </cacheField>
    <cacheField name="Transportation &amp; Communication" numFmtId="0">
      <sharedItems containsSemiMixedTypes="0" containsString="0" containsNumber="1" minValue="103.2" maxValue="169.7"/>
    </cacheField>
    <cacheField name="Colthing and Personal Care" numFmtId="0">
      <sharedItems containsSemiMixedTypes="0" containsString="0" containsNumber="1" minValue="105.05" maxValue="187.85000000000002"/>
    </cacheField>
    <cacheField name="Recreation" numFmtId="0">
      <sharedItems containsSemiMixedTypes="0" containsString="0" containsNumber="1" minValue="102.9" maxValue="173.8"/>
    </cacheField>
    <cacheField name="Alcohol &amp; Tobacco" numFmtId="0">
      <sharedItems containsSemiMixedTypes="0" containsString="0" containsNumber="1" minValue="105.1" maxValue="204.2"/>
    </cacheField>
    <cacheField name="Household &amp; Miscellaneous" numFmtId="0">
      <sharedItems containsSemiMixedTypes="0" containsString="0" containsNumber="1" minValue="104.25" maxValue="179.65"/>
    </cacheField>
    <cacheField name="Overall CPI" numFmtId="0">
      <sharedItems containsSemiMixedTypes="0" containsString="0" containsNumber="1" minValue="103.98000000000002" maxValue="182.033333333333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s v="NA"/>
    <n v="107.5"/>
    <n v="106.3"/>
    <n v="108.1"/>
    <n v="104.9"/>
    <n v="106.1"/>
    <x v="0"/>
    <x v="0"/>
    <n v="106.1"/>
    <n v="106.8"/>
    <n v="103.1"/>
    <n v="104.8"/>
    <n v="106.7"/>
    <n v="105.5"/>
    <n v="105.1"/>
    <n v="106.5"/>
    <n v="105.8"/>
    <n v="106.4"/>
    <n v="105.5"/>
    <n v="104.8"/>
    <n v="104"/>
    <n v="103.3"/>
    <n v="103.4"/>
    <n v="103.8"/>
    <n v="104.7"/>
    <n v="104"/>
    <n v="105.1"/>
    <n v="105.5"/>
    <s v="NA"/>
    <n v="103.8"/>
    <n v="105.5"/>
    <n v="104"/>
    <n v="103.3"/>
    <n v="105.55000000000001"/>
    <n v="103.4"/>
    <n v="105.1"/>
    <n v="104.4"/>
    <n v="104.50555555555556"/>
  </r>
  <r>
    <x v="1"/>
    <x v="0"/>
    <x v="0"/>
    <n v="100.3"/>
    <n v="110.5"/>
    <n v="109.1"/>
    <n v="113"/>
    <n v="103.6"/>
    <n v="103.4"/>
    <x v="1"/>
    <x v="1"/>
    <n v="105.8"/>
    <n v="105.1"/>
    <n v="101.8"/>
    <n v="105.1"/>
    <n v="107.9"/>
    <n v="105.9"/>
    <n v="105.2"/>
    <n v="105.9"/>
    <n v="105"/>
    <n v="105.8"/>
    <n v="105.4"/>
    <n v="104.8"/>
    <n v="104.1"/>
    <n v="103.2"/>
    <n v="102.9"/>
    <n v="103.5"/>
    <n v="104.3"/>
    <n v="103.7"/>
    <n v="104"/>
    <n v="105.9"/>
    <n v="100.3"/>
    <n v="103.5"/>
    <n v="105.4"/>
    <n v="104.1"/>
    <n v="103.2"/>
    <n v="105.05"/>
    <n v="102.9"/>
    <n v="105.2"/>
    <n v="104.25"/>
    <n v="103.98000000000002"/>
  </r>
  <r>
    <x v="2"/>
    <x v="0"/>
    <x v="0"/>
    <n v="100.3"/>
    <n v="108.4"/>
    <n v="107.3"/>
    <n v="110"/>
    <n v="104.4"/>
    <n v="105.1"/>
    <x v="2"/>
    <x v="2"/>
    <n v="106"/>
    <n v="106.2"/>
    <n v="102.7"/>
    <n v="104.9"/>
    <n v="107.3"/>
    <n v="105.6"/>
    <n v="105.1"/>
    <n v="106.3"/>
    <n v="105.5"/>
    <n v="106.2"/>
    <n v="105.5"/>
    <n v="104.8"/>
    <n v="104"/>
    <n v="103.2"/>
    <n v="103.1"/>
    <n v="103.6"/>
    <n v="104.5"/>
    <n v="103.9"/>
    <n v="104.6"/>
    <n v="105.6"/>
    <n v="100.3"/>
    <n v="103.6"/>
    <n v="105.5"/>
    <n v="104"/>
    <n v="103.2"/>
    <n v="105.35"/>
    <n v="103.1"/>
    <n v="105.1"/>
    <n v="104.35"/>
    <n v="104.01000000000002"/>
  </r>
  <r>
    <x v="0"/>
    <x v="0"/>
    <x v="1"/>
    <s v="NA"/>
    <n v="109.2"/>
    <n v="108.7"/>
    <n v="110.2"/>
    <n v="105.4"/>
    <n v="106.7"/>
    <x v="3"/>
    <x v="3"/>
    <n v="105.9"/>
    <n v="105.7"/>
    <n v="103.1"/>
    <n v="105.1"/>
    <n v="107.7"/>
    <n v="106.3"/>
    <n v="105.6"/>
    <n v="107.1"/>
    <n v="106.3"/>
    <n v="107"/>
    <n v="106.2"/>
    <n v="105.2"/>
    <n v="104.4"/>
    <n v="103.9"/>
    <n v="104"/>
    <n v="104.1"/>
    <n v="104.6"/>
    <n v="104.4"/>
    <n v="105.8"/>
    <n v="106.3"/>
    <s v="NA"/>
    <n v="104.1"/>
    <n v="106.2"/>
    <n v="104.4"/>
    <n v="103.9"/>
    <n v="105.8"/>
    <n v="104"/>
    <n v="105.6"/>
    <n v="104.80000000000001"/>
    <n v="105.01111111111111"/>
  </r>
  <r>
    <x v="1"/>
    <x v="0"/>
    <x v="1"/>
    <n v="100.4"/>
    <n v="112.9"/>
    <n v="112.9"/>
    <n v="116.9"/>
    <n v="104"/>
    <n v="103.5"/>
    <x v="4"/>
    <x v="4"/>
    <n v="104.1"/>
    <n v="103.8"/>
    <n v="102.3"/>
    <n v="106"/>
    <n v="109"/>
    <n v="107.2"/>
    <n v="106"/>
    <n v="106.6"/>
    <n v="105.5"/>
    <n v="106.4"/>
    <n v="105.7"/>
    <n v="105.2"/>
    <n v="104.7"/>
    <n v="104.4"/>
    <n v="103.3"/>
    <n v="103.7"/>
    <n v="104.3"/>
    <n v="104.3"/>
    <n v="104.7"/>
    <n v="107.2"/>
    <n v="100.4"/>
    <n v="103.7"/>
    <n v="105.7"/>
    <n v="104.7"/>
    <n v="104.4"/>
    <n v="105.35"/>
    <n v="103.3"/>
    <n v="106"/>
    <n v="104.75"/>
    <n v="104.55"/>
  </r>
  <r>
    <x v="2"/>
    <x v="0"/>
    <x v="1"/>
    <n v="100.4"/>
    <n v="110.4"/>
    <n v="110.2"/>
    <n v="112.8"/>
    <n v="104.9"/>
    <n v="105.5"/>
    <x v="5"/>
    <x v="5"/>
    <n v="105.3"/>
    <n v="105.1"/>
    <n v="102.8"/>
    <n v="105.5"/>
    <n v="108.3"/>
    <n v="106.6"/>
    <n v="105.7"/>
    <n v="106.9"/>
    <n v="106"/>
    <n v="106.8"/>
    <n v="106"/>
    <n v="105.2"/>
    <n v="104.5"/>
    <n v="104.2"/>
    <n v="103.6"/>
    <n v="103.9"/>
    <n v="104.5"/>
    <n v="104.4"/>
    <n v="105.3"/>
    <n v="106.6"/>
    <n v="100.4"/>
    <n v="103.9"/>
    <n v="106"/>
    <n v="104.5"/>
    <n v="104.2"/>
    <n v="105.65"/>
    <n v="103.6"/>
    <n v="105.7"/>
    <n v="104.80000000000001"/>
    <n v="104.53500000000001"/>
  </r>
  <r>
    <x v="0"/>
    <x v="0"/>
    <x v="2"/>
    <s v="NA"/>
    <n v="110.2"/>
    <n v="108.8"/>
    <n v="109.9"/>
    <n v="105.6"/>
    <n v="106.2"/>
    <x v="6"/>
    <x v="6"/>
    <n v="105.7"/>
    <n v="105"/>
    <n v="103.3"/>
    <n v="105.6"/>
    <n v="108.2"/>
    <n v="106.6"/>
    <n v="106.5"/>
    <n v="107.6"/>
    <n v="106.8"/>
    <n v="107.5"/>
    <n v="106.1"/>
    <n v="105.6"/>
    <n v="104.7"/>
    <n v="104.6"/>
    <n v="104"/>
    <n v="104.3"/>
    <n v="104.3"/>
    <n v="104.6"/>
    <n v="106"/>
    <n v="106.6"/>
    <s v="NA"/>
    <n v="104.3"/>
    <n v="106.1"/>
    <n v="104.7"/>
    <n v="104.6"/>
    <n v="105.9"/>
    <n v="104"/>
    <n v="106.5"/>
    <n v="105.1"/>
    <n v="105.3111111111111"/>
  </r>
  <r>
    <x v="1"/>
    <x v="0"/>
    <x v="2"/>
    <n v="100.4"/>
    <n v="113.9"/>
    <n v="111.4"/>
    <n v="113.2"/>
    <n v="104.3"/>
    <n v="102.7"/>
    <x v="7"/>
    <x v="7"/>
    <n v="103.5"/>
    <n v="102.6"/>
    <n v="102.4"/>
    <n v="107"/>
    <n v="109.8"/>
    <n v="107.3"/>
    <n v="106.8"/>
    <n v="107.2"/>
    <n v="106"/>
    <n v="107"/>
    <n v="106"/>
    <n v="105.7"/>
    <n v="105.2"/>
    <n v="105.5"/>
    <n v="103.5"/>
    <n v="103.8"/>
    <n v="104.2"/>
    <n v="104.9"/>
    <n v="105"/>
    <n v="107.3"/>
    <n v="100.4"/>
    <n v="103.8"/>
    <n v="106"/>
    <n v="105.2"/>
    <n v="105.5"/>
    <n v="105.6"/>
    <n v="103.5"/>
    <n v="106.8"/>
    <n v="105.30000000000001"/>
    <n v="104.94000000000001"/>
  </r>
  <r>
    <x v="2"/>
    <x v="0"/>
    <x v="2"/>
    <n v="100.4"/>
    <n v="111.4"/>
    <n v="109.7"/>
    <n v="111.2"/>
    <n v="105.1"/>
    <n v="104.9"/>
    <x v="8"/>
    <x v="2"/>
    <n v="105"/>
    <n v="104.2"/>
    <n v="103"/>
    <n v="106.2"/>
    <n v="108.9"/>
    <n v="106.9"/>
    <n v="106.6"/>
    <n v="107.4"/>
    <n v="106.5"/>
    <n v="107.3"/>
    <n v="106.1"/>
    <n v="105.6"/>
    <n v="104.9"/>
    <n v="105.1"/>
    <n v="103.7"/>
    <n v="104"/>
    <n v="104.3"/>
    <n v="104.7"/>
    <n v="105.5"/>
    <n v="106.9"/>
    <n v="100.4"/>
    <n v="104"/>
    <n v="106.1"/>
    <n v="104.9"/>
    <n v="105.1"/>
    <n v="105.8"/>
    <n v="103.7"/>
    <n v="106.6"/>
    <n v="105.15"/>
    <n v="104.86500000000001"/>
  </r>
  <r>
    <x v="0"/>
    <x v="0"/>
    <x v="3"/>
    <s v="NA"/>
    <n v="110.2"/>
    <n v="109.5"/>
    <n v="106.9"/>
    <n v="106.3"/>
    <n v="105.7"/>
    <x v="9"/>
    <x v="8"/>
    <n v="105.7"/>
    <n v="104.2"/>
    <n v="103.2"/>
    <n v="106.5"/>
    <n v="108.8"/>
    <n v="107.1"/>
    <n v="107.1"/>
    <n v="108.1"/>
    <n v="107.4"/>
    <n v="108"/>
    <n v="106.5"/>
    <n v="106.1"/>
    <n v="105.1"/>
    <n v="104.4"/>
    <n v="104.5"/>
    <n v="104.8"/>
    <n v="102.7"/>
    <n v="104.6"/>
    <n v="106.4"/>
    <n v="107.1"/>
    <s v="NA"/>
    <n v="104.8"/>
    <n v="106.5"/>
    <n v="105.1"/>
    <n v="104.4"/>
    <n v="105.35"/>
    <n v="104.5"/>
    <n v="107.1"/>
    <n v="105.35"/>
    <n v="105.57777777777778"/>
  </r>
  <r>
    <x v="1"/>
    <x v="0"/>
    <x v="3"/>
    <n v="100.5"/>
    <n v="114.6"/>
    <n v="113.4"/>
    <n v="106"/>
    <n v="104.7"/>
    <n v="102.1"/>
    <x v="10"/>
    <x v="9"/>
    <n v="104.6"/>
    <n v="102"/>
    <n v="103.5"/>
    <n v="108.2"/>
    <n v="110.6"/>
    <n v="108.8"/>
    <n v="108.5"/>
    <n v="107.9"/>
    <n v="106.4"/>
    <n v="107.7"/>
    <n v="106.4"/>
    <n v="106.5"/>
    <n v="105.7"/>
    <n v="105"/>
    <n v="104"/>
    <n v="105.2"/>
    <n v="103.2"/>
    <n v="105.1"/>
    <n v="105.7"/>
    <n v="108.8"/>
    <n v="100.5"/>
    <n v="105.2"/>
    <n v="106.4"/>
    <n v="105.7"/>
    <n v="105"/>
    <n v="105.45"/>
    <n v="104"/>
    <n v="108.5"/>
    <n v="105.8"/>
    <n v="105.53500000000001"/>
  </r>
  <r>
    <x v="2"/>
    <x v="0"/>
    <x v="3"/>
    <n v="100.5"/>
    <n v="111.6"/>
    <n v="110.9"/>
    <n v="106.6"/>
    <n v="105.7"/>
    <n v="104.4"/>
    <x v="11"/>
    <x v="10"/>
    <n v="105.3"/>
    <n v="103.5"/>
    <n v="103.3"/>
    <n v="107.2"/>
    <n v="109.6"/>
    <n v="107.7"/>
    <n v="107.5"/>
    <n v="108"/>
    <n v="107"/>
    <n v="107.9"/>
    <n v="106.5"/>
    <n v="106.3"/>
    <n v="105.3"/>
    <n v="104.7"/>
    <n v="104.2"/>
    <n v="105"/>
    <n v="102.9"/>
    <n v="104.8"/>
    <n v="106.1"/>
    <n v="107.7"/>
    <n v="100.5"/>
    <n v="105"/>
    <n v="106.5"/>
    <n v="105.3"/>
    <n v="104.7"/>
    <n v="105.4"/>
    <n v="104.2"/>
    <n v="107.5"/>
    <n v="105.55"/>
    <n v="105.23500000000001"/>
  </r>
  <r>
    <x v="0"/>
    <x v="0"/>
    <x v="4"/>
    <s v="NA"/>
    <n v="110.9"/>
    <n v="109.8"/>
    <n v="105.9"/>
    <n v="107.5"/>
    <n v="105.3"/>
    <x v="12"/>
    <x v="11"/>
    <n v="106.1"/>
    <n v="103.7"/>
    <n v="104"/>
    <n v="107.4"/>
    <n v="109.9"/>
    <n v="108.1"/>
    <n v="108.1"/>
    <n v="108.8"/>
    <n v="107.9"/>
    <n v="108.6"/>
    <n v="107.5"/>
    <n v="106.8"/>
    <n v="105.7"/>
    <n v="104.1"/>
    <n v="105"/>
    <n v="105.5"/>
    <n v="102.1"/>
    <n v="104.8"/>
    <n v="107.2"/>
    <n v="108.1"/>
    <s v="NA"/>
    <n v="105.5"/>
    <n v="107.5"/>
    <n v="105.7"/>
    <n v="104.1"/>
    <n v="105.35"/>
    <n v="105"/>
    <n v="108.1"/>
    <n v="105.8"/>
    <n v="106.12777777777778"/>
  </r>
  <r>
    <x v="1"/>
    <x v="0"/>
    <x v="4"/>
    <n v="100.5"/>
    <n v="115.4"/>
    <n v="114.2"/>
    <n v="102.7"/>
    <n v="105.5"/>
    <n v="101.5"/>
    <x v="13"/>
    <x v="12"/>
    <n v="105.2"/>
    <n v="101.9"/>
    <n v="105"/>
    <n v="109.1"/>
    <n v="111.3"/>
    <n v="111.1"/>
    <n v="109.8"/>
    <n v="108.5"/>
    <n v="106.7"/>
    <n v="108.3"/>
    <n v="107.2"/>
    <n v="107.1"/>
    <n v="106.2"/>
    <n v="103.9"/>
    <n v="104.6"/>
    <n v="105.7"/>
    <n v="102.6"/>
    <n v="104.9"/>
    <n v="106.6"/>
    <n v="111.1"/>
    <n v="100.5"/>
    <n v="105.7"/>
    <n v="107.2"/>
    <n v="106.2"/>
    <n v="103.9"/>
    <n v="105.44999999999999"/>
    <n v="104.6"/>
    <n v="109.8"/>
    <n v="106"/>
    <n v="106.04499999999999"/>
  </r>
  <r>
    <x v="2"/>
    <x v="0"/>
    <x v="4"/>
    <n v="100.5"/>
    <n v="112.3"/>
    <n v="111.3"/>
    <n v="104.7"/>
    <n v="106.8"/>
    <n v="103.9"/>
    <x v="14"/>
    <x v="13"/>
    <n v="105.8"/>
    <n v="103.1"/>
    <n v="104.3"/>
    <n v="108.1"/>
    <n v="110.5"/>
    <n v="109.2"/>
    <n v="108.6"/>
    <n v="108.7"/>
    <n v="107.4"/>
    <n v="108.5"/>
    <n v="107.4"/>
    <n v="106.9"/>
    <n v="105.9"/>
    <n v="104"/>
    <n v="104.8"/>
    <n v="105.6"/>
    <n v="102.3"/>
    <n v="104.8"/>
    <n v="106.9"/>
    <n v="109.2"/>
    <n v="100.5"/>
    <n v="105.6"/>
    <n v="107.4"/>
    <n v="105.9"/>
    <n v="104"/>
    <n v="105.4"/>
    <n v="104.8"/>
    <n v="108.6"/>
    <n v="105.85"/>
    <n v="105.72499999999998"/>
  </r>
  <r>
    <x v="0"/>
    <x v="0"/>
    <x v="5"/>
    <s v="NA"/>
    <n v="112.3"/>
    <n v="112.1"/>
    <n v="108.1"/>
    <n v="108.3"/>
    <n v="105.9"/>
    <x v="15"/>
    <x v="14"/>
    <n v="106.8"/>
    <n v="104.1"/>
    <n v="105.4"/>
    <n v="108.2"/>
    <n v="111"/>
    <n v="110.6"/>
    <n v="109"/>
    <n v="109.7"/>
    <n v="108.8"/>
    <n v="109.5"/>
    <n v="108.5"/>
    <n v="107.5"/>
    <n v="106.3"/>
    <n v="105"/>
    <n v="105.6"/>
    <n v="106.5"/>
    <n v="102.5"/>
    <n v="105.5"/>
    <n v="108.9"/>
    <n v="110.6"/>
    <s v="NA"/>
    <n v="106.5"/>
    <n v="108.5"/>
    <n v="106.3"/>
    <n v="105"/>
    <n v="106"/>
    <n v="105.6"/>
    <n v="109"/>
    <n v="106.5"/>
    <n v="107.11111111111113"/>
  </r>
  <r>
    <x v="1"/>
    <x v="0"/>
    <x v="5"/>
    <n v="106.6"/>
    <n v="117"/>
    <n v="120.1"/>
    <n v="112.5"/>
    <n v="107.3"/>
    <n v="101.3"/>
    <x v="16"/>
    <x v="15"/>
    <n v="105.4"/>
    <n v="101.4"/>
    <n v="106.4"/>
    <n v="110"/>
    <n v="112.2"/>
    <n v="115"/>
    <n v="110.9"/>
    <n v="109.2"/>
    <n v="107.2"/>
    <n v="108.9"/>
    <n v="108"/>
    <n v="107.7"/>
    <n v="106.5"/>
    <n v="105.2"/>
    <n v="105.2"/>
    <n v="108.1"/>
    <n v="103.3"/>
    <n v="106.1"/>
    <n v="109.7"/>
    <n v="115"/>
    <n v="106.6"/>
    <n v="108.1"/>
    <n v="108"/>
    <n v="106.5"/>
    <n v="105.2"/>
    <n v="106.1"/>
    <n v="105.2"/>
    <n v="110.9"/>
    <n v="106.9"/>
    <n v="107.85000000000002"/>
  </r>
  <r>
    <x v="2"/>
    <x v="0"/>
    <x v="5"/>
    <n v="106.6"/>
    <n v="113.8"/>
    <n v="114.9"/>
    <n v="109.8"/>
    <n v="107.9"/>
    <n v="104.2"/>
    <x v="17"/>
    <x v="16"/>
    <n v="106.3"/>
    <n v="103.2"/>
    <n v="105.7"/>
    <n v="109"/>
    <n v="111.6"/>
    <n v="112.2"/>
    <n v="109.5"/>
    <n v="109.5"/>
    <n v="108.1"/>
    <n v="109.3"/>
    <n v="108.3"/>
    <n v="107.6"/>
    <n v="106.4"/>
    <n v="105.1"/>
    <n v="105.4"/>
    <n v="107.4"/>
    <n v="102.8"/>
    <n v="105.8"/>
    <n v="109.3"/>
    <n v="112.2"/>
    <n v="106.6"/>
    <n v="107.4"/>
    <n v="108.3"/>
    <n v="106.4"/>
    <n v="105.1"/>
    <n v="106.05"/>
    <n v="105.4"/>
    <n v="109.5"/>
    <n v="106.69999999999999"/>
    <n v="107.36500000000001"/>
  </r>
  <r>
    <x v="0"/>
    <x v="0"/>
    <x v="6"/>
    <s v="NA"/>
    <n v="113.4"/>
    <n v="114.9"/>
    <n v="110.5"/>
    <n v="109.3"/>
    <n v="106.2"/>
    <x v="18"/>
    <x v="17"/>
    <n v="107.1"/>
    <n v="104.3"/>
    <n v="106.4"/>
    <n v="109.1"/>
    <n v="112.1"/>
    <n v="113.1"/>
    <n v="109.8"/>
    <n v="110.5"/>
    <n v="109.5"/>
    <n v="110.3"/>
    <n v="109.5"/>
    <n v="108.3"/>
    <n v="106.9"/>
    <n v="106.8"/>
    <n v="106.4"/>
    <n v="107.8"/>
    <n v="102.5"/>
    <n v="106.5"/>
    <n v="110.7"/>
    <n v="113.1"/>
    <s v="NA"/>
    <n v="107.8"/>
    <n v="109.5"/>
    <n v="106.9"/>
    <n v="106.8"/>
    <n v="106.4"/>
    <n v="106.4"/>
    <n v="109.8"/>
    <n v="107.4"/>
    <n v="108.23333333333331"/>
  </r>
  <r>
    <x v="1"/>
    <x v="0"/>
    <x v="6"/>
    <n v="107.7"/>
    <n v="117.8"/>
    <n v="119.2"/>
    <n v="114"/>
    <n v="108.3"/>
    <n v="101.1"/>
    <x v="19"/>
    <x v="18"/>
    <n v="105.1"/>
    <n v="101.3"/>
    <n v="107.5"/>
    <n v="110.4"/>
    <n v="113.1"/>
    <n v="117.5"/>
    <n v="111.7"/>
    <n v="109.8"/>
    <n v="107.8"/>
    <n v="109.5"/>
    <n v="108.6"/>
    <n v="108.1"/>
    <n v="107.1"/>
    <n v="107.3"/>
    <n v="105.9"/>
    <n v="110.1"/>
    <n v="103.2"/>
    <n v="107.3"/>
    <n v="111.4"/>
    <n v="117.5"/>
    <n v="107.7"/>
    <n v="110.1"/>
    <n v="108.6"/>
    <n v="107.1"/>
    <n v="107.3"/>
    <n v="106.35"/>
    <n v="105.9"/>
    <n v="111.7"/>
    <n v="107.69999999999999"/>
    <n v="108.995"/>
  </r>
  <r>
    <x v="2"/>
    <x v="0"/>
    <x v="6"/>
    <n v="107.7"/>
    <n v="114.8"/>
    <n v="116.4"/>
    <n v="111.9"/>
    <n v="108.9"/>
    <n v="104.3"/>
    <x v="20"/>
    <x v="19"/>
    <n v="106.4"/>
    <n v="103.3"/>
    <n v="106.8"/>
    <n v="109.6"/>
    <n v="112.6"/>
    <n v="114.7"/>
    <n v="110.3"/>
    <n v="110.2"/>
    <n v="108.8"/>
    <n v="110"/>
    <n v="109.2"/>
    <n v="108.2"/>
    <n v="107"/>
    <n v="107.1"/>
    <n v="106.1"/>
    <n v="109.1"/>
    <n v="102.8"/>
    <n v="106.9"/>
    <n v="111"/>
    <n v="114.7"/>
    <n v="107.7"/>
    <n v="109.1"/>
    <n v="109.2"/>
    <n v="107"/>
    <n v="107.1"/>
    <n v="106.4"/>
    <n v="106.1"/>
    <n v="110.3"/>
    <n v="107.55000000000001"/>
    <n v="108.51500000000001"/>
  </r>
  <r>
    <x v="0"/>
    <x v="0"/>
    <x v="7"/>
    <s v="NA"/>
    <n v="114.3"/>
    <n v="115.4"/>
    <n v="111.1"/>
    <n v="110"/>
    <n v="106.4"/>
    <x v="21"/>
    <x v="20"/>
    <n v="107.4"/>
    <n v="104.1"/>
    <n v="106.9"/>
    <n v="109.7"/>
    <n v="112.6"/>
    <n v="114.9"/>
    <n v="110.7"/>
    <n v="111.3"/>
    <n v="110.2"/>
    <n v="111.1"/>
    <n v="109.9"/>
    <n v="108.7"/>
    <n v="107.5"/>
    <n v="107.8"/>
    <n v="106.8"/>
    <n v="108.7"/>
    <n v="105"/>
    <n v="107.5"/>
    <n v="112.1"/>
    <n v="114.9"/>
    <s v="NA"/>
    <n v="108.7"/>
    <n v="109.9"/>
    <n v="107.5"/>
    <n v="107.8"/>
    <n v="108.05"/>
    <n v="106.8"/>
    <n v="110.7"/>
    <n v="108.1"/>
    <n v="109.1611111111111"/>
  </r>
  <r>
    <x v="1"/>
    <x v="0"/>
    <x v="7"/>
    <n v="108.9"/>
    <n v="118.3"/>
    <n v="120.4"/>
    <n v="112.7"/>
    <n v="108.9"/>
    <n v="101.1"/>
    <x v="22"/>
    <x v="21"/>
    <n v="104.7"/>
    <n v="101"/>
    <n v="108.5"/>
    <n v="110.9"/>
    <n v="114.3"/>
    <n v="119.6"/>
    <n v="112.4"/>
    <n v="110.6"/>
    <n v="108.3"/>
    <n v="110.2"/>
    <n v="109.3"/>
    <n v="108.7"/>
    <n v="107.6"/>
    <n v="108.1"/>
    <n v="106.5"/>
    <n v="110.8"/>
    <n v="106"/>
    <n v="108.3"/>
    <n v="112.7"/>
    <n v="119.6"/>
    <n v="108.9"/>
    <n v="110.8"/>
    <n v="109.3"/>
    <n v="107.6"/>
    <n v="108.1"/>
    <n v="108.1"/>
    <n v="106.5"/>
    <n v="112.4"/>
    <n v="108.5"/>
    <n v="109.98000000000002"/>
  </r>
  <r>
    <x v="2"/>
    <x v="0"/>
    <x v="7"/>
    <n v="108.9"/>
    <n v="115.6"/>
    <n v="117.2"/>
    <n v="111.7"/>
    <n v="109.6"/>
    <n v="104.5"/>
    <x v="23"/>
    <x v="22"/>
    <n v="106.5"/>
    <n v="103.1"/>
    <n v="107.4"/>
    <n v="110.2"/>
    <n v="113.4"/>
    <n v="116.6"/>
    <n v="111.2"/>
    <n v="111"/>
    <n v="109.4"/>
    <n v="110.7"/>
    <n v="109.7"/>
    <n v="108.7"/>
    <n v="107.5"/>
    <n v="108"/>
    <n v="106.6"/>
    <n v="109.9"/>
    <n v="105.4"/>
    <n v="107.9"/>
    <n v="112.4"/>
    <n v="116.6"/>
    <n v="108.9"/>
    <n v="109.9"/>
    <n v="109.7"/>
    <n v="107.5"/>
    <n v="108"/>
    <n v="108.05000000000001"/>
    <n v="106.6"/>
    <n v="111.2"/>
    <n v="108.30000000000001"/>
    <n v="109.47499999999999"/>
  </r>
  <r>
    <x v="0"/>
    <x v="0"/>
    <x v="8"/>
    <s v="NA"/>
    <n v="115.4"/>
    <n v="115.7"/>
    <n v="111.7"/>
    <n v="111"/>
    <n v="107.4"/>
    <x v="24"/>
    <x v="23"/>
    <n v="108.1"/>
    <n v="104.2"/>
    <n v="107.9"/>
    <n v="110.4"/>
    <n v="114"/>
    <n v="117.8"/>
    <n v="111.7"/>
    <n v="112.7"/>
    <n v="111.4"/>
    <n v="112.5"/>
    <n v="111.1"/>
    <n v="109.6"/>
    <n v="108.3"/>
    <n v="109.3"/>
    <n v="107.7"/>
    <n v="109.8"/>
    <n v="106.7"/>
    <n v="108.7"/>
    <n v="114.2"/>
    <n v="117.8"/>
    <s v="NA"/>
    <n v="109.8"/>
    <n v="111.1"/>
    <n v="108.3"/>
    <n v="109.3"/>
    <n v="109.6"/>
    <n v="107.7"/>
    <n v="111.7"/>
    <n v="109.15"/>
    <n v="110.49444444444445"/>
  </r>
  <r>
    <x v="1"/>
    <x v="0"/>
    <x v="8"/>
    <n v="109.7"/>
    <n v="118.6"/>
    <n v="119.1"/>
    <n v="113.2"/>
    <n v="109.6"/>
    <n v="101.7"/>
    <x v="2"/>
    <x v="24"/>
    <n v="105.1"/>
    <n v="100.8"/>
    <n v="109.1"/>
    <n v="111.1"/>
    <n v="115.4"/>
    <n v="119.2"/>
    <n v="112.9"/>
    <n v="111.4"/>
    <n v="109"/>
    <n v="111.1"/>
    <n v="109.5"/>
    <n v="109.6"/>
    <n v="107.9"/>
    <n v="110.4"/>
    <n v="107.4"/>
    <n v="111.2"/>
    <n v="106.9"/>
    <n v="109.4"/>
    <n v="113.2"/>
    <n v="119.2"/>
    <n v="109.7"/>
    <n v="111.2"/>
    <n v="109.5"/>
    <n v="107.9"/>
    <n v="110.4"/>
    <n v="109"/>
    <n v="107.4"/>
    <n v="112.9"/>
    <n v="109.5"/>
    <n v="110.66999999999999"/>
  </r>
  <r>
    <x v="2"/>
    <x v="0"/>
    <x v="8"/>
    <n v="109.7"/>
    <n v="116.4"/>
    <n v="116.9"/>
    <n v="112.3"/>
    <n v="110.5"/>
    <n v="105.3"/>
    <x v="25"/>
    <x v="18"/>
    <n v="107.1"/>
    <n v="103.1"/>
    <n v="108.3"/>
    <n v="110.7"/>
    <n v="114.6"/>
    <n v="118.3"/>
    <n v="112"/>
    <n v="112.2"/>
    <n v="110.4"/>
    <n v="111.9"/>
    <n v="110.5"/>
    <n v="109.6"/>
    <n v="108.1"/>
    <n v="109.9"/>
    <n v="107.5"/>
    <n v="110.6"/>
    <n v="106.8"/>
    <n v="109"/>
    <n v="113.7"/>
    <n v="118.3"/>
    <n v="109.7"/>
    <n v="110.6"/>
    <n v="110.5"/>
    <n v="108.1"/>
    <n v="109.9"/>
    <n v="109.35"/>
    <n v="107.5"/>
    <n v="112"/>
    <n v="109.3"/>
    <n v="110.52500000000001"/>
  </r>
  <r>
    <x v="0"/>
    <x v="0"/>
    <x v="9"/>
    <s v="NA"/>
    <n v="116.3"/>
    <n v="115.4"/>
    <n v="112.6"/>
    <n v="111.7"/>
    <n v="107.7"/>
    <x v="19"/>
    <x v="25"/>
    <n v="108.3"/>
    <n v="103.9"/>
    <n v="108.2"/>
    <n v="111.1"/>
    <n v="114.9"/>
    <n v="119.8"/>
    <n v="112.2"/>
    <n v="113.6"/>
    <n v="112.3"/>
    <n v="113.4"/>
    <n v="111.6"/>
    <n v="110.4"/>
    <n v="108.9"/>
    <n v="109.3"/>
    <n v="108.3"/>
    <n v="110.2"/>
    <n v="107.5"/>
    <n v="109.1"/>
    <n v="115.5"/>
    <n v="119.8"/>
    <s v="NA"/>
    <n v="110.2"/>
    <n v="111.6"/>
    <n v="108.9"/>
    <n v="109.3"/>
    <n v="110.45"/>
    <n v="108.3"/>
    <n v="112.2"/>
    <n v="109.75"/>
    <n v="111.16666666666667"/>
  </r>
  <r>
    <x v="1"/>
    <x v="0"/>
    <x v="9"/>
    <n v="110.5"/>
    <n v="118.9"/>
    <n v="118.1"/>
    <n v="114.5"/>
    <n v="110.4"/>
    <n v="102.3"/>
    <x v="26"/>
    <x v="26"/>
    <n v="105.3"/>
    <n v="100.2"/>
    <n v="109.6"/>
    <n v="111.4"/>
    <n v="116"/>
    <n v="120.8"/>
    <n v="113.5"/>
    <n v="112.5"/>
    <n v="109.7"/>
    <n v="112"/>
    <n v="109.7"/>
    <n v="110.2"/>
    <n v="108.2"/>
    <n v="109.7"/>
    <n v="108"/>
    <n v="111.3"/>
    <n v="107.3"/>
    <n v="109.4"/>
    <n v="114"/>
    <n v="120.8"/>
    <n v="110.5"/>
    <n v="111.3"/>
    <n v="109.7"/>
    <n v="108.2"/>
    <n v="109.7"/>
    <n v="109.65"/>
    <n v="108"/>
    <n v="113.5"/>
    <n v="109.80000000000001"/>
    <n v="111.11500000000001"/>
  </r>
  <r>
    <x v="2"/>
    <x v="0"/>
    <x v="9"/>
    <n v="110.5"/>
    <n v="117.1"/>
    <n v="116.3"/>
    <n v="113.3"/>
    <n v="111.2"/>
    <n v="105.7"/>
    <x v="27"/>
    <x v="27"/>
    <n v="107.3"/>
    <n v="102.7"/>
    <n v="108.7"/>
    <n v="111.2"/>
    <n v="115.4"/>
    <n v="120.2"/>
    <n v="112.5"/>
    <n v="113.2"/>
    <n v="111.2"/>
    <n v="112.8"/>
    <n v="110.9"/>
    <n v="110.3"/>
    <n v="108.6"/>
    <n v="109.5"/>
    <n v="108.1"/>
    <n v="110.8"/>
    <n v="107.4"/>
    <n v="109.2"/>
    <n v="114.8"/>
    <n v="120.2"/>
    <n v="110.5"/>
    <n v="110.8"/>
    <n v="110.9"/>
    <n v="108.6"/>
    <n v="109.5"/>
    <n v="110.1"/>
    <n v="108.1"/>
    <n v="112.5"/>
    <n v="109.75"/>
    <n v="111.095"/>
  </r>
  <r>
    <x v="0"/>
    <x v="0"/>
    <x v="10"/>
    <s v="NA"/>
    <n v="117.3"/>
    <n v="114.9"/>
    <n v="116.2"/>
    <n v="112.8"/>
    <n v="108.9"/>
    <x v="28"/>
    <x v="28"/>
    <n v="109.1"/>
    <n v="103.6"/>
    <n v="109"/>
    <n v="111.8"/>
    <n v="116"/>
    <n v="122.5"/>
    <n v="112.8"/>
    <n v="114.6"/>
    <n v="113.1"/>
    <n v="114.4"/>
    <n v="112.6"/>
    <n v="111.3"/>
    <n v="109.7"/>
    <n v="109.6"/>
    <n v="108.7"/>
    <n v="111"/>
    <n v="108.2"/>
    <n v="109.8"/>
    <n v="117.4"/>
    <n v="122.5"/>
    <s v="NA"/>
    <n v="111"/>
    <n v="112.6"/>
    <n v="109.7"/>
    <n v="109.6"/>
    <n v="111.30000000000001"/>
    <n v="108.7"/>
    <n v="112.8"/>
    <n v="110.55"/>
    <n v="112.08333333333333"/>
  </r>
  <r>
    <x v="1"/>
    <x v="0"/>
    <x v="11"/>
    <n v="111.1"/>
    <n v="119.8"/>
    <n v="116.3"/>
    <n v="122.6"/>
    <n v="112"/>
    <n v="103.2"/>
    <x v="29"/>
    <x v="29"/>
    <n v="106.3"/>
    <n v="99.5"/>
    <n v="110.3"/>
    <n v="111.8"/>
    <n v="117.1"/>
    <n v="122.9"/>
    <n v="114.1"/>
    <n v="113.5"/>
    <n v="110.3"/>
    <n v="113"/>
    <n v="110"/>
    <n v="110.9"/>
    <n v="108.6"/>
    <n v="109.5"/>
    <n v="108.5"/>
    <n v="111.3"/>
    <n v="107.9"/>
    <n v="109.6"/>
    <n v="115"/>
    <n v="122.9"/>
    <n v="111.1"/>
    <n v="111.3"/>
    <n v="110"/>
    <n v="108.6"/>
    <n v="109.5"/>
    <n v="110.45"/>
    <n v="108.5"/>
    <n v="114.1"/>
    <n v="110.25"/>
    <n v="111.67"/>
  </r>
  <r>
    <x v="2"/>
    <x v="0"/>
    <x v="11"/>
    <n v="111.1"/>
    <n v="118.1"/>
    <n v="115.4"/>
    <n v="118.7"/>
    <n v="112.5"/>
    <n v="106.8"/>
    <x v="30"/>
    <x v="30"/>
    <n v="108.2"/>
    <n v="102.2"/>
    <n v="109.4"/>
    <n v="111.8"/>
    <n v="116.5"/>
    <n v="122.6"/>
    <n v="113.1"/>
    <n v="114.2"/>
    <n v="111.9"/>
    <n v="113.8"/>
    <n v="111.6"/>
    <n v="111.1"/>
    <n v="109.3"/>
    <n v="109.5"/>
    <n v="108.6"/>
    <n v="111.2"/>
    <n v="108.1"/>
    <n v="109.7"/>
    <n v="116.3"/>
    <n v="122.6"/>
    <n v="111.1"/>
    <n v="111.2"/>
    <n v="111.6"/>
    <n v="109.3"/>
    <n v="109.5"/>
    <n v="110.94999999999999"/>
    <n v="108.6"/>
    <n v="113.1"/>
    <n v="110.4"/>
    <n v="111.83500000000001"/>
  </r>
  <r>
    <x v="0"/>
    <x v="0"/>
    <x v="12"/>
    <s v="NA"/>
    <n v="118.4"/>
    <n v="115.9"/>
    <n v="120.4"/>
    <n v="113.8"/>
    <n v="109.5"/>
    <x v="31"/>
    <x v="31"/>
    <n v="109.5"/>
    <n v="102.9"/>
    <n v="109.8"/>
    <n v="112.1"/>
    <n v="116.8"/>
    <n v="118.7"/>
    <n v="113.6"/>
    <n v="115.8"/>
    <n v="114"/>
    <n v="115.5"/>
    <n v="112.8"/>
    <n v="112.1"/>
    <n v="110.1"/>
    <n v="109.9"/>
    <n v="109.2"/>
    <n v="111.6"/>
    <n v="108.1"/>
    <n v="110.1"/>
    <n v="115.5"/>
    <n v="118.7"/>
    <s v="NA"/>
    <n v="111.6"/>
    <n v="112.8"/>
    <n v="110.1"/>
    <n v="109.9"/>
    <n v="111.8"/>
    <n v="109.2"/>
    <n v="113.6"/>
    <n v="111.1"/>
    <n v="112.0888888888889"/>
  </r>
  <r>
    <x v="1"/>
    <x v="0"/>
    <x v="12"/>
    <n v="110.7"/>
    <n v="120.5"/>
    <n v="118.1"/>
    <n v="128.5"/>
    <n v="112.8"/>
    <n v="103.4"/>
    <x v="17"/>
    <x v="32"/>
    <n v="107.1"/>
    <n v="98.6"/>
    <n v="111.9"/>
    <n v="112.1"/>
    <n v="118.1"/>
    <n v="117.8"/>
    <n v="115"/>
    <n v="114.2"/>
    <n v="110.9"/>
    <n v="113.7"/>
    <n v="110.4"/>
    <n v="111.3"/>
    <n v="109"/>
    <n v="109.7"/>
    <n v="108.9"/>
    <n v="111.4"/>
    <n v="107.7"/>
    <n v="109.8"/>
    <n v="113.3"/>
    <n v="117.8"/>
    <n v="110.7"/>
    <n v="111.4"/>
    <n v="110.4"/>
    <n v="109"/>
    <n v="109.7"/>
    <n v="110.7"/>
    <n v="108.9"/>
    <n v="115"/>
    <n v="110.55"/>
    <n v="111.41500000000001"/>
  </r>
  <r>
    <x v="2"/>
    <x v="0"/>
    <x v="12"/>
    <n v="110.7"/>
    <n v="119.1"/>
    <n v="116.7"/>
    <n v="123.5"/>
    <n v="113.4"/>
    <n v="107.3"/>
    <x v="32"/>
    <x v="33"/>
    <n v="108.7"/>
    <n v="101.5"/>
    <n v="110.5"/>
    <n v="112.1"/>
    <n v="117.4"/>
    <n v="118.4"/>
    <n v="114"/>
    <n v="115.2"/>
    <n v="112.7"/>
    <n v="114.8"/>
    <n v="111.9"/>
    <n v="111.7"/>
    <n v="109.7"/>
    <n v="109.8"/>
    <n v="109"/>
    <n v="111.5"/>
    <n v="107.9"/>
    <n v="110"/>
    <n v="114.5"/>
    <n v="118.4"/>
    <n v="110.7"/>
    <n v="111.5"/>
    <n v="111.9"/>
    <n v="109.7"/>
    <n v="109.8"/>
    <n v="111.35"/>
    <n v="109"/>
    <n v="114"/>
    <n v="110.85"/>
    <n v="111.72"/>
  </r>
  <r>
    <x v="0"/>
    <x v="1"/>
    <x v="0"/>
    <s v="NA"/>
    <n v="118.9"/>
    <n v="117.1"/>
    <n v="120.5"/>
    <n v="114.4"/>
    <n v="109"/>
    <x v="31"/>
    <x v="34"/>
    <n v="109.6"/>
    <n v="101.8"/>
    <n v="110.2"/>
    <n v="112.4"/>
    <n v="117.3"/>
    <n v="116"/>
    <n v="114"/>
    <n v="116.5"/>
    <n v="114.5"/>
    <n v="116.2"/>
    <n v="113"/>
    <n v="112.6"/>
    <n v="110.6"/>
    <n v="110.5"/>
    <n v="109.6"/>
    <n v="111.8"/>
    <n v="108.3"/>
    <n v="110.6"/>
    <n v="114.2"/>
    <n v="116"/>
    <s v="NA"/>
    <n v="111.8"/>
    <n v="113"/>
    <n v="110.6"/>
    <n v="110.5"/>
    <n v="112.25"/>
    <n v="109.6"/>
    <n v="114"/>
    <n v="111.6"/>
    <n v="112.15"/>
  </r>
  <r>
    <x v="1"/>
    <x v="1"/>
    <x v="0"/>
    <n v="111.6"/>
    <n v="121.2"/>
    <n v="122"/>
    <n v="129.9"/>
    <n v="113.6"/>
    <n v="102.9"/>
    <x v="33"/>
    <x v="35"/>
    <n v="107.5"/>
    <n v="96.9"/>
    <n v="112.7"/>
    <n v="112.1"/>
    <n v="119"/>
    <n v="115.5"/>
    <n v="115.7"/>
    <n v="114.8"/>
    <n v="111.3"/>
    <n v="114.3"/>
    <n v="111"/>
    <n v="111.9"/>
    <n v="109.7"/>
    <n v="110.8"/>
    <n v="109.8"/>
    <n v="111.5"/>
    <n v="108"/>
    <n v="110.5"/>
    <n v="112.9"/>
    <n v="115.5"/>
    <n v="111.6"/>
    <n v="111.5"/>
    <n v="111"/>
    <n v="109.7"/>
    <n v="110.8"/>
    <n v="111.15"/>
    <n v="109.8"/>
    <n v="115.7"/>
    <n v="111.2"/>
    <n v="111.795"/>
  </r>
  <r>
    <x v="2"/>
    <x v="1"/>
    <x v="0"/>
    <n v="111.6"/>
    <n v="119.6"/>
    <n v="118.8"/>
    <n v="124.1"/>
    <n v="114.1"/>
    <n v="106.8"/>
    <x v="34"/>
    <x v="36"/>
    <n v="108.9"/>
    <n v="100.2"/>
    <n v="111"/>
    <n v="112.3"/>
    <n v="118.1"/>
    <n v="115.8"/>
    <n v="114.5"/>
    <n v="115.8"/>
    <n v="113.2"/>
    <n v="115.4"/>
    <n v="112.2"/>
    <n v="112.3"/>
    <n v="110.3"/>
    <n v="110.7"/>
    <n v="109.7"/>
    <n v="111.6"/>
    <n v="108.2"/>
    <n v="110.6"/>
    <n v="113.6"/>
    <n v="115.8"/>
    <n v="111.6"/>
    <n v="111.6"/>
    <n v="112.2"/>
    <n v="110.3"/>
    <n v="110.7"/>
    <n v="111.80000000000001"/>
    <n v="109.7"/>
    <n v="114.5"/>
    <n v="111.44999999999999"/>
    <n v="111.965"/>
  </r>
  <r>
    <x v="0"/>
    <x v="1"/>
    <x v="1"/>
    <s v="NA"/>
    <n v="119.4"/>
    <n v="117.7"/>
    <n v="121.2"/>
    <n v="115"/>
    <n v="109"/>
    <x v="28"/>
    <x v="37"/>
    <n v="109.8"/>
    <n v="101.1"/>
    <n v="110.4"/>
    <n v="112.9"/>
    <n v="117.8"/>
    <n v="115.3"/>
    <n v="114.2"/>
    <n v="117.1"/>
    <n v="114.5"/>
    <n v="116.7"/>
    <n v="113.2"/>
    <n v="112.9"/>
    <n v="110.9"/>
    <n v="110.8"/>
    <n v="109.9"/>
    <n v="112"/>
    <n v="108.7"/>
    <n v="110.9"/>
    <n v="114"/>
    <n v="115.3"/>
    <s v="NA"/>
    <n v="112"/>
    <n v="113.2"/>
    <n v="110.9"/>
    <n v="110.8"/>
    <n v="112.7"/>
    <n v="109.9"/>
    <n v="114.2"/>
    <n v="111.9"/>
    <n v="112.32222222222222"/>
  </r>
  <r>
    <x v="1"/>
    <x v="1"/>
    <x v="1"/>
    <n v="112.5"/>
    <n v="121.9"/>
    <n v="122"/>
    <n v="124.5"/>
    <n v="115.2"/>
    <n v="102.5"/>
    <x v="35"/>
    <x v="38"/>
    <n v="108.2"/>
    <n v="95.4"/>
    <n v="113.5"/>
    <n v="112.1"/>
    <n v="119.9"/>
    <n v="115.2"/>
    <n v="116.2"/>
    <n v="115.3"/>
    <n v="111.7"/>
    <n v="114.7"/>
    <n v="111.1"/>
    <n v="112.6"/>
    <n v="110.4"/>
    <n v="111.3"/>
    <n v="110.3"/>
    <n v="111.6"/>
    <n v="108.7"/>
    <n v="111"/>
    <n v="113.1"/>
    <n v="115.2"/>
    <n v="112.5"/>
    <n v="111.6"/>
    <n v="111.1"/>
    <n v="110.4"/>
    <n v="111.3"/>
    <n v="111.7"/>
    <n v="110.3"/>
    <n v="116.2"/>
    <n v="111.8"/>
    <n v="112.21"/>
  </r>
  <r>
    <x v="2"/>
    <x v="1"/>
    <x v="1"/>
    <n v="112.5"/>
    <n v="120.2"/>
    <n v="119.2"/>
    <n v="122.5"/>
    <n v="115.1"/>
    <n v="106.6"/>
    <x v="36"/>
    <x v="39"/>
    <n v="109.3"/>
    <n v="99.2"/>
    <n v="111.4"/>
    <n v="112.6"/>
    <n v="118.8"/>
    <n v="115.3"/>
    <n v="114.7"/>
    <n v="116.4"/>
    <n v="113.3"/>
    <n v="115.9"/>
    <n v="112.4"/>
    <n v="112.8"/>
    <n v="110.7"/>
    <n v="111.1"/>
    <n v="110.1"/>
    <n v="111.8"/>
    <n v="108.7"/>
    <n v="110.9"/>
    <n v="113.6"/>
    <n v="115.3"/>
    <n v="112.5"/>
    <n v="111.8"/>
    <n v="112.4"/>
    <n v="110.7"/>
    <n v="111.1"/>
    <n v="112.30000000000001"/>
    <n v="110.1"/>
    <n v="114.7"/>
    <n v="111.85"/>
    <n v="112.27500000000002"/>
  </r>
  <r>
    <x v="0"/>
    <x v="1"/>
    <x v="2"/>
    <s v="NA"/>
    <n v="120.1"/>
    <n v="118.1"/>
    <n v="120.7"/>
    <n v="116.1"/>
    <n v="109.3"/>
    <x v="37"/>
    <x v="40"/>
    <n v="110.2"/>
    <n v="101.2"/>
    <n v="110.7"/>
    <n v="113"/>
    <n v="118.3"/>
    <n v="116.2"/>
    <n v="114.6"/>
    <n v="117.5"/>
    <n v="114.9"/>
    <n v="117.2"/>
    <n v="113.4"/>
    <n v="113.4"/>
    <n v="111.4"/>
    <n v="111.2"/>
    <n v="110.2"/>
    <n v="112.4"/>
    <n v="108.9"/>
    <n v="111.3"/>
    <n v="114.6"/>
    <n v="116.2"/>
    <s v="NA"/>
    <n v="112.4"/>
    <n v="113.4"/>
    <n v="111.4"/>
    <n v="111.2"/>
    <n v="113.05000000000001"/>
    <n v="110.2"/>
    <n v="114.6"/>
    <n v="112.35"/>
    <n v="112.75555555555557"/>
  </r>
  <r>
    <x v="1"/>
    <x v="1"/>
    <x v="2"/>
    <n v="113.2"/>
    <n v="122.1"/>
    <n v="121.4"/>
    <n v="121.5"/>
    <n v="116.2"/>
    <n v="102.8"/>
    <x v="38"/>
    <x v="41"/>
    <n v="108.9"/>
    <n v="96.3"/>
    <n v="114.1"/>
    <n v="112.2"/>
    <n v="120.5"/>
    <n v="116"/>
    <n v="116.7"/>
    <n v="115.8"/>
    <n v="112.1"/>
    <n v="115.2"/>
    <n v="110.9"/>
    <n v="113"/>
    <n v="110.8"/>
    <n v="111.6"/>
    <n v="110.9"/>
    <n v="111.8"/>
    <n v="109.2"/>
    <n v="111.4"/>
    <n v="113.7"/>
    <n v="116"/>
    <n v="113.2"/>
    <n v="111.8"/>
    <n v="110.9"/>
    <n v="110.8"/>
    <n v="111.6"/>
    <n v="112.2"/>
    <n v="110.9"/>
    <n v="116.7"/>
    <n v="112.2"/>
    <n v="112.63"/>
  </r>
  <r>
    <x v="2"/>
    <x v="1"/>
    <x v="2"/>
    <n v="113.2"/>
    <n v="120.7"/>
    <n v="119.3"/>
    <n v="121"/>
    <n v="116.1"/>
    <n v="106.9"/>
    <x v="39"/>
    <x v="42"/>
    <n v="109.8"/>
    <n v="99.6"/>
    <n v="111.8"/>
    <n v="112.7"/>
    <n v="119.3"/>
    <n v="116.1"/>
    <n v="115.2"/>
    <n v="116.8"/>
    <n v="113.7"/>
    <n v="116.4"/>
    <n v="112.5"/>
    <n v="113.2"/>
    <n v="111.2"/>
    <n v="111.4"/>
    <n v="110.6"/>
    <n v="112"/>
    <n v="109"/>
    <n v="111.3"/>
    <n v="114.2"/>
    <n v="116.1"/>
    <n v="113.2"/>
    <n v="112"/>
    <n v="112.5"/>
    <n v="111.2"/>
    <n v="111.4"/>
    <n v="112.7"/>
    <n v="110.6"/>
    <n v="115.2"/>
    <n v="112.25"/>
    <n v="112.715"/>
  </r>
  <r>
    <x v="0"/>
    <x v="1"/>
    <x v="3"/>
    <s v="NA"/>
    <n v="120.2"/>
    <n v="118.9"/>
    <n v="118.1"/>
    <n v="117"/>
    <n v="109.7"/>
    <x v="40"/>
    <x v="43"/>
    <n v="111"/>
    <n v="102.6"/>
    <n v="111.2"/>
    <n v="113.5"/>
    <n v="118.7"/>
    <n v="117.2"/>
    <n v="115.4"/>
    <n v="118.1"/>
    <n v="116.1"/>
    <n v="117.8"/>
    <n v="113.4"/>
    <n v="113.7"/>
    <n v="111.8"/>
    <n v="111.2"/>
    <n v="110.5"/>
    <n v="113"/>
    <n v="108.9"/>
    <n v="111.5"/>
    <n v="115.4"/>
    <n v="117.2"/>
    <s v="NA"/>
    <n v="113"/>
    <n v="113.4"/>
    <n v="111.8"/>
    <n v="111.2"/>
    <n v="113.35"/>
    <n v="110.5"/>
    <n v="115.4"/>
    <n v="112.6"/>
    <n v="113.16111111111111"/>
  </r>
  <r>
    <x v="1"/>
    <x v="1"/>
    <x v="3"/>
    <n v="113.9"/>
    <n v="122.5"/>
    <n v="121.7"/>
    <n v="113.3"/>
    <n v="117"/>
    <n v="103.1"/>
    <x v="41"/>
    <x v="44"/>
    <n v="111"/>
    <n v="100.3"/>
    <n v="115.3"/>
    <n v="112.7"/>
    <n v="121"/>
    <n v="118.2"/>
    <n v="117.6"/>
    <n v="116.3"/>
    <n v="112.5"/>
    <n v="115.7"/>
    <n v="110.9"/>
    <n v="113.4"/>
    <n v="111"/>
    <n v="111.2"/>
    <n v="111.2"/>
    <n v="112.5"/>
    <n v="109.1"/>
    <n v="111.4"/>
    <n v="114.7"/>
    <n v="118.2"/>
    <n v="113.9"/>
    <n v="112.5"/>
    <n v="110.9"/>
    <n v="111"/>
    <n v="111.2"/>
    <n v="112.4"/>
    <n v="111.2"/>
    <n v="117.6"/>
    <n v="112.4"/>
    <n v="113.13000000000002"/>
  </r>
  <r>
    <x v="2"/>
    <x v="1"/>
    <x v="3"/>
    <n v="113.9"/>
    <n v="120.9"/>
    <n v="119.9"/>
    <n v="116.2"/>
    <n v="117"/>
    <n v="107.3"/>
    <x v="42"/>
    <x v="45"/>
    <n v="111"/>
    <n v="101.8"/>
    <n v="112.6"/>
    <n v="113.2"/>
    <n v="119.8"/>
    <n v="117.6"/>
    <n v="116"/>
    <n v="117.4"/>
    <n v="114.6"/>
    <n v="117"/>
    <n v="112.5"/>
    <n v="113.6"/>
    <n v="111.5"/>
    <n v="111.2"/>
    <n v="110.9"/>
    <n v="112.7"/>
    <n v="109"/>
    <n v="111.5"/>
    <n v="115.1"/>
    <n v="117.6"/>
    <n v="113.9"/>
    <n v="112.7"/>
    <n v="112.5"/>
    <n v="111.5"/>
    <n v="111.2"/>
    <n v="113"/>
    <n v="110.9"/>
    <n v="116"/>
    <n v="112.55"/>
    <n v="113.18500000000002"/>
  </r>
  <r>
    <x v="0"/>
    <x v="1"/>
    <x v="4"/>
    <s v="NA"/>
    <n v="120.3"/>
    <n v="120.2"/>
    <n v="116.9"/>
    <n v="118"/>
    <n v="110.1"/>
    <x v="43"/>
    <x v="34"/>
    <n v="111.5"/>
    <n v="103.5"/>
    <n v="111.6"/>
    <n v="114.2"/>
    <n v="119.2"/>
    <n v="118.2"/>
    <n v="116.3"/>
    <n v="118.7"/>
    <n v="116.8"/>
    <n v="118.5"/>
    <n v="113.4"/>
    <n v="114.1"/>
    <n v="112.1"/>
    <n v="111.4"/>
    <n v="110.9"/>
    <n v="113.1"/>
    <n v="108.9"/>
    <n v="111.8"/>
    <n v="116"/>
    <n v="118.2"/>
    <s v="NA"/>
    <n v="113.1"/>
    <n v="113.4"/>
    <n v="112.1"/>
    <n v="111.4"/>
    <n v="113.7"/>
    <n v="110.9"/>
    <n v="116.3"/>
    <n v="112.94999999999999"/>
    <n v="113.5611111111111"/>
  </r>
  <r>
    <x v="1"/>
    <x v="1"/>
    <x v="4"/>
    <n v="114.3"/>
    <n v="122.7"/>
    <n v="124.1"/>
    <n v="114.2"/>
    <n v="119.1"/>
    <n v="103.5"/>
    <x v="44"/>
    <x v="46"/>
    <n v="112.6"/>
    <n v="101.3"/>
    <n v="117"/>
    <n v="112.9"/>
    <n v="121.7"/>
    <n v="120"/>
    <n v="118.3"/>
    <n v="116.8"/>
    <n v="112.9"/>
    <n v="116.2"/>
    <n v="111.1"/>
    <n v="114.1"/>
    <n v="111.2"/>
    <n v="111.3"/>
    <n v="111.5"/>
    <n v="112.9"/>
    <n v="109.3"/>
    <n v="111.7"/>
    <n v="115.6"/>
    <n v="120"/>
    <n v="114.3"/>
    <n v="112.9"/>
    <n v="111.1"/>
    <n v="111.2"/>
    <n v="111.3"/>
    <n v="112.75"/>
    <n v="111.5"/>
    <n v="118.3"/>
    <n v="112.9"/>
    <n v="113.625"/>
  </r>
  <r>
    <x v="2"/>
    <x v="1"/>
    <x v="4"/>
    <n v="114.3"/>
    <n v="121.1"/>
    <n v="121.6"/>
    <n v="115.9"/>
    <n v="118.4"/>
    <n v="107.7"/>
    <x v="45"/>
    <x v="47"/>
    <n v="111.9"/>
    <n v="102.8"/>
    <n v="113.4"/>
    <n v="113.7"/>
    <n v="120.4"/>
    <n v="118.9"/>
    <n v="116.8"/>
    <n v="118"/>
    <n v="115.2"/>
    <n v="117.6"/>
    <n v="112.5"/>
    <n v="114.1"/>
    <n v="111.8"/>
    <n v="111.3"/>
    <n v="111.2"/>
    <n v="113"/>
    <n v="109.1"/>
    <n v="111.8"/>
    <n v="115.8"/>
    <n v="118.9"/>
    <n v="114.3"/>
    <n v="113"/>
    <n v="112.5"/>
    <n v="111.8"/>
    <n v="111.3"/>
    <n v="113.35"/>
    <n v="111.2"/>
    <n v="116.8"/>
    <n v="112.94999999999999"/>
    <n v="113.60999999999999"/>
  </r>
  <r>
    <x v="0"/>
    <x v="1"/>
    <x v="5"/>
    <s v="NA"/>
    <n v="120.7"/>
    <n v="121.6"/>
    <n v="116.1"/>
    <n v="119.3"/>
    <n v="110.3"/>
    <x v="46"/>
    <x v="48"/>
    <n v="112.2"/>
    <n v="103.6"/>
    <n v="112.3"/>
    <n v="114.9"/>
    <n v="120.1"/>
    <n v="119.5"/>
    <n v="117.3"/>
    <n v="119.7"/>
    <n v="117.3"/>
    <n v="119.3"/>
    <n v="114.4"/>
    <n v="114.9"/>
    <n v="112.8"/>
    <n v="112.2"/>
    <n v="111.4"/>
    <n v="114.3"/>
    <n v="108"/>
    <n v="112.3"/>
    <n v="117"/>
    <n v="119.5"/>
    <s v="NA"/>
    <n v="114.3"/>
    <n v="114.4"/>
    <n v="112.8"/>
    <n v="112.2"/>
    <n v="113.65"/>
    <n v="111.4"/>
    <n v="117.3"/>
    <n v="113.6"/>
    <n v="114.34999999999998"/>
  </r>
  <r>
    <x v="1"/>
    <x v="1"/>
    <x v="5"/>
    <n v="113.9"/>
    <n v="123.1"/>
    <n v="125.9"/>
    <n v="115.4"/>
    <n v="120.4"/>
    <n v="103.4"/>
    <x v="47"/>
    <x v="49"/>
    <n v="112.8"/>
    <n v="101.4"/>
    <n v="118.3"/>
    <n v="113.2"/>
    <n v="122.4"/>
    <n v="122"/>
    <n v="119"/>
    <n v="117.4"/>
    <n v="113.2"/>
    <n v="116.7"/>
    <n v="111.2"/>
    <n v="114.3"/>
    <n v="111.4"/>
    <n v="111.5"/>
    <n v="111.8"/>
    <n v="115.1"/>
    <n v="108.7"/>
    <n v="112.2"/>
    <n v="116.4"/>
    <n v="122"/>
    <n v="113.9"/>
    <n v="115.1"/>
    <n v="111.2"/>
    <n v="111.4"/>
    <n v="111.5"/>
    <n v="112.7"/>
    <n v="111.8"/>
    <n v="119"/>
    <n v="113.25"/>
    <n v="114.18499999999999"/>
  </r>
  <r>
    <x v="2"/>
    <x v="1"/>
    <x v="5"/>
    <n v="113.9"/>
    <n v="121.5"/>
    <n v="123.1"/>
    <n v="115.8"/>
    <n v="119.7"/>
    <n v="107.8"/>
    <x v="48"/>
    <x v="50"/>
    <n v="112.4"/>
    <n v="102.9"/>
    <n v="114.3"/>
    <n v="114.2"/>
    <n v="121.2"/>
    <n v="120.4"/>
    <n v="117.8"/>
    <n v="118.8"/>
    <n v="115.6"/>
    <n v="118.3"/>
    <n v="113.2"/>
    <n v="114.6"/>
    <n v="112.3"/>
    <n v="111.8"/>
    <n v="111.6"/>
    <n v="114.8"/>
    <n v="108.3"/>
    <n v="112.3"/>
    <n v="116.7"/>
    <n v="120.4"/>
    <n v="113.9"/>
    <n v="114.8"/>
    <n v="113.2"/>
    <n v="112.3"/>
    <n v="111.8"/>
    <n v="113.3"/>
    <n v="111.6"/>
    <n v="117.8"/>
    <n v="113.44999999999999"/>
    <n v="114.255"/>
  </r>
  <r>
    <x v="0"/>
    <x v="1"/>
    <x v="6"/>
    <s v="NA"/>
    <n v="121.7"/>
    <n v="122.5"/>
    <n v="117.7"/>
    <n v="120.6"/>
    <n v="110.4"/>
    <x v="49"/>
    <x v="51"/>
    <n v="113.2"/>
    <n v="104.8"/>
    <n v="113.3"/>
    <n v="115.6"/>
    <n v="120.9"/>
    <n v="123.3"/>
    <n v="118"/>
    <n v="120.7"/>
    <n v="118.3"/>
    <n v="120.3"/>
    <n v="115.3"/>
    <n v="115.4"/>
    <n v="113.4"/>
    <n v="113.2"/>
    <n v="111.8"/>
    <n v="115.5"/>
    <n v="108.8"/>
    <n v="113.1"/>
    <n v="119.5"/>
    <n v="123.3"/>
    <s v="NA"/>
    <n v="115.5"/>
    <n v="115.3"/>
    <n v="113.4"/>
    <n v="113.2"/>
    <n v="114.55"/>
    <n v="111.8"/>
    <n v="118"/>
    <n v="114.25"/>
    <n v="115.47777777777777"/>
  </r>
  <r>
    <x v="1"/>
    <x v="1"/>
    <x v="6"/>
    <n v="114.8"/>
    <n v="123.8"/>
    <n v="126.4"/>
    <n v="118"/>
    <n v="121.6"/>
    <n v="103.5"/>
    <x v="50"/>
    <x v="52"/>
    <n v="113.1"/>
    <n v="102.7"/>
    <n v="120"/>
    <n v="113.8"/>
    <n v="123.4"/>
    <n v="127.1"/>
    <n v="121"/>
    <n v="118"/>
    <n v="113.6"/>
    <n v="117.4"/>
    <n v="111.6"/>
    <n v="114.9"/>
    <n v="111.5"/>
    <n v="113"/>
    <n v="112.4"/>
    <n v="117.8"/>
    <n v="109.7"/>
    <n v="113.5"/>
    <n v="118.9"/>
    <n v="127.1"/>
    <n v="114.8"/>
    <n v="117.8"/>
    <n v="111.6"/>
    <n v="111.5"/>
    <n v="113"/>
    <n v="113.55000000000001"/>
    <n v="112.4"/>
    <n v="121"/>
    <n v="114.2"/>
    <n v="115.69500000000001"/>
  </r>
  <r>
    <x v="2"/>
    <x v="1"/>
    <x v="6"/>
    <n v="114.8"/>
    <n v="122.4"/>
    <n v="123.9"/>
    <n v="117.8"/>
    <n v="121"/>
    <n v="107.9"/>
    <x v="47"/>
    <x v="53"/>
    <n v="113.2"/>
    <n v="104.1"/>
    <n v="115.5"/>
    <n v="114.8"/>
    <n v="122.1"/>
    <n v="124.7"/>
    <n v="118.8"/>
    <n v="119.6"/>
    <n v="116.3"/>
    <n v="119.1"/>
    <n v="113.9"/>
    <n v="115.2"/>
    <n v="112.7"/>
    <n v="113.1"/>
    <n v="112.1"/>
    <n v="116.8"/>
    <n v="109.2"/>
    <n v="113.3"/>
    <n v="119.2"/>
    <n v="124.7"/>
    <n v="114.8"/>
    <n v="116.8"/>
    <n v="113.9"/>
    <n v="112.7"/>
    <n v="113.1"/>
    <n v="114.15"/>
    <n v="112.1"/>
    <n v="118.8"/>
    <n v="114.25"/>
    <n v="115.53000000000002"/>
  </r>
  <r>
    <x v="0"/>
    <x v="1"/>
    <x v="7"/>
    <s v="NA"/>
    <n v="121.8"/>
    <n v="122.8"/>
    <n v="117.8"/>
    <n v="121.9"/>
    <n v="110.6"/>
    <x v="51"/>
    <x v="54"/>
    <n v="114.1"/>
    <n v="105.1"/>
    <n v="114.6"/>
    <n v="115.8"/>
    <n v="121.7"/>
    <n v="125.3"/>
    <n v="118.8"/>
    <n v="120.9"/>
    <n v="118.8"/>
    <n v="120.7"/>
    <n v="115.4"/>
    <n v="115.9"/>
    <n v="114"/>
    <n v="113.2"/>
    <n v="112.2"/>
    <n v="116.2"/>
    <n v="109.4"/>
    <n v="113.5"/>
    <n v="120.7"/>
    <n v="125.3"/>
    <s v="NA"/>
    <n v="116.2"/>
    <n v="115.4"/>
    <n v="114"/>
    <n v="113.2"/>
    <n v="115.05000000000001"/>
    <n v="112.2"/>
    <n v="118.8"/>
    <n v="114.7"/>
    <n v="116.09444444444446"/>
  </r>
  <r>
    <x v="1"/>
    <x v="1"/>
    <x v="7"/>
    <n v="115.5"/>
    <n v="124.8"/>
    <n v="127.3"/>
    <n v="116.5"/>
    <n v="122.2"/>
    <n v="103.6"/>
    <x v="52"/>
    <x v="55"/>
    <n v="115.2"/>
    <n v="102.7"/>
    <n v="122.1"/>
    <n v="114.4"/>
    <n v="124.7"/>
    <n v="128.9"/>
    <n v="123"/>
    <n v="118.6"/>
    <n v="114.1"/>
    <n v="117.9"/>
    <n v="111.8"/>
    <n v="115.3"/>
    <n v="112.2"/>
    <n v="112.5"/>
    <n v="112.9"/>
    <n v="119.2"/>
    <n v="110.5"/>
    <n v="113.9"/>
    <n v="119.9"/>
    <n v="128.9"/>
    <n v="115.5"/>
    <n v="119.2"/>
    <n v="111.8"/>
    <n v="112.2"/>
    <n v="112.5"/>
    <n v="114.2"/>
    <n v="112.9"/>
    <n v="123"/>
    <n v="114.6"/>
    <n v="116.47999999999999"/>
  </r>
  <r>
    <x v="2"/>
    <x v="1"/>
    <x v="7"/>
    <n v="115.5"/>
    <n v="122.7"/>
    <n v="124.4"/>
    <n v="117.3"/>
    <n v="122"/>
    <n v="108"/>
    <x v="53"/>
    <x v="56"/>
    <n v="114.5"/>
    <n v="104.3"/>
    <n v="117.1"/>
    <n v="115.2"/>
    <n v="123.1"/>
    <n v="126.6"/>
    <n v="119.9"/>
    <n v="120"/>
    <n v="116.8"/>
    <n v="119.6"/>
    <n v="114"/>
    <n v="115.6"/>
    <n v="113.3"/>
    <n v="112.8"/>
    <n v="112.6"/>
    <n v="118"/>
    <n v="109.9"/>
    <n v="113.7"/>
    <n v="120.3"/>
    <n v="126.6"/>
    <n v="115.5"/>
    <n v="118"/>
    <n v="114"/>
    <n v="113.3"/>
    <n v="112.8"/>
    <n v="114.75"/>
    <n v="112.6"/>
    <n v="119.9"/>
    <n v="114.65"/>
    <n v="116.21000000000001"/>
  </r>
  <r>
    <x v="0"/>
    <x v="1"/>
    <x v="8"/>
    <s v="NA"/>
    <n v="122.3"/>
    <n v="122.4"/>
    <n v="117.8"/>
    <n v="122.7"/>
    <n v="110.4"/>
    <x v="54"/>
    <x v="57"/>
    <n v="115"/>
    <n v="104.7"/>
    <n v="114.9"/>
    <n v="116.5"/>
    <n v="122.6"/>
    <n v="125.3"/>
    <n v="119.5"/>
    <n v="121.7"/>
    <n v="119.2"/>
    <n v="121.3"/>
    <n v="115.8"/>
    <n v="116.7"/>
    <n v="114.5"/>
    <n v="112.8"/>
    <n v="112.6"/>
    <n v="116.6"/>
    <n v="109.1"/>
    <n v="113.7"/>
    <n v="120.9"/>
    <n v="125.3"/>
    <s v="NA"/>
    <n v="116.6"/>
    <n v="115.8"/>
    <n v="114.5"/>
    <n v="112.8"/>
    <n v="115.19999999999999"/>
    <n v="112.6"/>
    <n v="119.5"/>
    <n v="115.2"/>
    <n v="116.38888888888889"/>
  </r>
  <r>
    <x v="1"/>
    <x v="1"/>
    <x v="8"/>
    <n v="116.1"/>
    <n v="124.2"/>
    <n v="125.4"/>
    <n v="116.4"/>
    <n v="122.7"/>
    <n v="103.5"/>
    <x v="55"/>
    <x v="58"/>
    <n v="116.9"/>
    <n v="101.9"/>
    <n v="122.9"/>
    <n v="114.8"/>
    <n v="125.2"/>
    <n v="126.7"/>
    <n v="124.3"/>
    <n v="119.2"/>
    <n v="114.5"/>
    <n v="118.4"/>
    <n v="111.8"/>
    <n v="115.5"/>
    <n v="112.3"/>
    <n v="111.2"/>
    <n v="113.4"/>
    <n v="120"/>
    <n v="110"/>
    <n v="113.6"/>
    <n v="119.2"/>
    <n v="126.7"/>
    <n v="116.1"/>
    <n v="120"/>
    <n v="111.8"/>
    <n v="112.3"/>
    <n v="111.2"/>
    <n v="114.2"/>
    <n v="113.4"/>
    <n v="124.3"/>
    <n v="114.55"/>
    <n v="116.455"/>
  </r>
  <r>
    <x v="2"/>
    <x v="1"/>
    <x v="8"/>
    <n v="116.1"/>
    <n v="122.9"/>
    <n v="123.5"/>
    <n v="117.3"/>
    <n v="122.7"/>
    <n v="107.9"/>
    <x v="56"/>
    <x v="59"/>
    <n v="115.6"/>
    <n v="103.8"/>
    <n v="117.6"/>
    <n v="115.8"/>
    <n v="123.8"/>
    <n v="125.8"/>
    <n v="120.8"/>
    <n v="120.7"/>
    <n v="117.2"/>
    <n v="120.1"/>
    <n v="114.3"/>
    <n v="116.1"/>
    <n v="113.7"/>
    <n v="112"/>
    <n v="113.1"/>
    <n v="118.6"/>
    <n v="109.5"/>
    <n v="113.7"/>
    <n v="120.1"/>
    <n v="125.8"/>
    <n v="116.1"/>
    <n v="118.6"/>
    <n v="114.3"/>
    <n v="113.7"/>
    <n v="112"/>
    <n v="114.8"/>
    <n v="113.1"/>
    <n v="120.8"/>
    <n v="114.9"/>
    <n v="116.41000000000001"/>
  </r>
  <r>
    <x v="0"/>
    <x v="1"/>
    <x v="9"/>
    <s v="NA"/>
    <n v="122.6"/>
    <n v="122.5"/>
    <n v="118.3"/>
    <n v="123.2"/>
    <n v="110.5"/>
    <x v="57"/>
    <x v="60"/>
    <n v="115.5"/>
    <n v="104"/>
    <n v="115.3"/>
    <n v="116.8"/>
    <n v="123.2"/>
    <n v="125.1"/>
    <n v="120"/>
    <n v="122.7"/>
    <n v="120.3"/>
    <n v="122.3"/>
    <n v="116.4"/>
    <n v="117.5"/>
    <n v="115.3"/>
    <n v="112.6"/>
    <n v="113"/>
    <n v="116.9"/>
    <n v="109.3"/>
    <n v="114"/>
    <n v="121"/>
    <n v="125.1"/>
    <s v="NA"/>
    <n v="116.9"/>
    <n v="116.4"/>
    <n v="115.3"/>
    <n v="112.6"/>
    <n v="115.8"/>
    <n v="113"/>
    <n v="120"/>
    <n v="115.75"/>
    <n v="116.76111111111111"/>
  </r>
  <r>
    <x v="1"/>
    <x v="1"/>
    <x v="9"/>
    <n v="116.7"/>
    <n v="124.6"/>
    <n v="126.1"/>
    <n v="117.8"/>
    <n v="123.1"/>
    <n v="103.5"/>
    <x v="58"/>
    <x v="61"/>
    <n v="117.4"/>
    <n v="101.2"/>
    <n v="123.8"/>
    <n v="115.2"/>
    <n v="125.9"/>
    <n v="125.8"/>
    <n v="124.3"/>
    <n v="119.6"/>
    <n v="114.9"/>
    <n v="118.9"/>
    <n v="112"/>
    <n v="115.8"/>
    <n v="112.6"/>
    <n v="111"/>
    <n v="113.6"/>
    <n v="120.2"/>
    <n v="110.1"/>
    <n v="113.7"/>
    <n v="119.1"/>
    <n v="125.8"/>
    <n v="116.7"/>
    <n v="120.2"/>
    <n v="112"/>
    <n v="112.6"/>
    <n v="111"/>
    <n v="114.5"/>
    <n v="113.6"/>
    <n v="124.3"/>
    <n v="114.75"/>
    <n v="116.545"/>
  </r>
  <r>
    <x v="2"/>
    <x v="1"/>
    <x v="9"/>
    <n v="116.7"/>
    <n v="123.2"/>
    <n v="123.8"/>
    <n v="118.1"/>
    <n v="123.2"/>
    <n v="107.9"/>
    <x v="59"/>
    <x v="62"/>
    <n v="116.1"/>
    <n v="103.1"/>
    <n v="118.1"/>
    <n v="116.1"/>
    <n v="124.5"/>
    <n v="125.4"/>
    <n v="121.1"/>
    <n v="121.5"/>
    <n v="118.1"/>
    <n v="121"/>
    <n v="114.7"/>
    <n v="116.7"/>
    <n v="114.3"/>
    <n v="111.8"/>
    <n v="113.3"/>
    <n v="118.8"/>
    <n v="109.6"/>
    <n v="113.9"/>
    <n v="120.1"/>
    <n v="125.4"/>
    <n v="116.7"/>
    <n v="118.8"/>
    <n v="114.7"/>
    <n v="114.3"/>
    <n v="111.8"/>
    <n v="115.3"/>
    <n v="113.3"/>
    <n v="121.1"/>
    <n v="115.30000000000001"/>
    <n v="116.66999999999999"/>
  </r>
  <r>
    <x v="0"/>
    <x v="1"/>
    <x v="11"/>
    <s v="NA"/>
    <n v="122.7"/>
    <n v="122.6"/>
    <n v="119.9"/>
    <n v="124"/>
    <n v="110.5"/>
    <x v="60"/>
    <x v="63"/>
    <n v="116.2"/>
    <n v="103.3"/>
    <n v="115.8"/>
    <n v="116.8"/>
    <n v="124.5"/>
    <n v="124.9"/>
    <n v="120.8"/>
    <n v="123.3"/>
    <n v="120.5"/>
    <n v="122.9"/>
    <n v="117.3"/>
    <n v="118.1"/>
    <n v="115.9"/>
    <n v="112"/>
    <n v="113.3"/>
    <n v="117.2"/>
    <n v="108.8"/>
    <n v="114.1"/>
    <n v="121.1"/>
    <n v="124.9"/>
    <s v="NA"/>
    <n v="117.2"/>
    <n v="117.3"/>
    <n v="115.9"/>
    <n v="112"/>
    <n v="115.85"/>
    <n v="113.3"/>
    <n v="120.8"/>
    <n v="116.1"/>
    <n v="117.03888888888888"/>
  </r>
  <r>
    <x v="1"/>
    <x v="1"/>
    <x v="11"/>
    <n v="117.1"/>
    <n v="124.5"/>
    <n v="125.6"/>
    <n v="122.7"/>
    <n v="124.6"/>
    <n v="103.2"/>
    <x v="61"/>
    <x v="64"/>
    <n v="119.3"/>
    <n v="99.8"/>
    <n v="124.6"/>
    <n v="115.8"/>
    <n v="126.9"/>
    <n v="125.4"/>
    <n v="125.8"/>
    <n v="120.3"/>
    <n v="115.4"/>
    <n v="119.5"/>
    <n v="112.6"/>
    <n v="116.4"/>
    <n v="113"/>
    <n v="109.7"/>
    <n v="114"/>
    <n v="120.3"/>
    <n v="109.6"/>
    <n v="113.4"/>
    <n v="119"/>
    <n v="125.4"/>
    <n v="117.1"/>
    <n v="120.3"/>
    <n v="112.6"/>
    <n v="113"/>
    <n v="109.7"/>
    <n v="114.55"/>
    <n v="114"/>
    <n v="125.8"/>
    <n v="114.9"/>
    <n v="116.73500000000001"/>
  </r>
  <r>
    <x v="2"/>
    <x v="1"/>
    <x v="11"/>
    <n v="117.1"/>
    <n v="123.3"/>
    <n v="123.7"/>
    <n v="121"/>
    <n v="124.2"/>
    <n v="107.8"/>
    <x v="62"/>
    <x v="65"/>
    <n v="117.2"/>
    <n v="102.1"/>
    <n v="118.7"/>
    <n v="116.4"/>
    <n v="125.6"/>
    <n v="125.1"/>
    <n v="122.1"/>
    <n v="122.1"/>
    <n v="118.4"/>
    <n v="121.6"/>
    <n v="115.5"/>
    <n v="117.3"/>
    <n v="114.8"/>
    <n v="110.8"/>
    <n v="113.7"/>
    <n v="119"/>
    <n v="109.1"/>
    <n v="113.8"/>
    <n v="120.1"/>
    <n v="125.1"/>
    <n v="117.1"/>
    <n v="119"/>
    <n v="115.5"/>
    <n v="114.8"/>
    <n v="110.8"/>
    <n v="115.35"/>
    <n v="113.7"/>
    <n v="122.1"/>
    <n v="115.55"/>
    <n v="116.9"/>
  </r>
  <r>
    <x v="0"/>
    <x v="1"/>
    <x v="12"/>
    <s v="NA"/>
    <n v="122.4"/>
    <n v="122.4"/>
    <n v="121.8"/>
    <n v="124.2"/>
    <n v="110.2"/>
    <x v="63"/>
    <x v="66"/>
    <n v="116.3"/>
    <n v="102"/>
    <n v="116"/>
    <n v="117.3"/>
    <n v="124.8"/>
    <n v="123.3"/>
    <n v="121.7"/>
    <n v="123.8"/>
    <n v="120.6"/>
    <n v="123.3"/>
    <n v="117.4"/>
    <n v="118.2"/>
    <n v="116.2"/>
    <n v="111.5"/>
    <n v="113.3"/>
    <n v="117.7"/>
    <n v="109.4"/>
    <n v="114.2"/>
    <n v="120.3"/>
    <n v="123.3"/>
    <s v="NA"/>
    <n v="117.7"/>
    <n v="117.4"/>
    <n v="116.2"/>
    <n v="111.5"/>
    <n v="116.35"/>
    <n v="113.3"/>
    <n v="121.7"/>
    <n v="116.2"/>
    <n v="117.07222222222221"/>
  </r>
  <r>
    <x v="1"/>
    <x v="1"/>
    <x v="12"/>
    <n v="116.5"/>
    <n v="124"/>
    <n v="124.7"/>
    <n v="126.3"/>
    <n v="124.9"/>
    <n v="103"/>
    <x v="64"/>
    <x v="67"/>
    <n v="120.1"/>
    <n v="97.8"/>
    <n v="125.4"/>
    <n v="116.1"/>
    <n v="127.6"/>
    <n v="124"/>
    <n v="126.4"/>
    <n v="120.7"/>
    <n v="115.8"/>
    <n v="120"/>
    <n v="113"/>
    <n v="116.8"/>
    <n v="113.2"/>
    <n v="108.8"/>
    <n v="114.3"/>
    <n v="120.7"/>
    <n v="110.4"/>
    <n v="113.4"/>
    <n v="118.4"/>
    <n v="124"/>
    <n v="116.5"/>
    <n v="120.7"/>
    <n v="113"/>
    <n v="113.2"/>
    <n v="108.8"/>
    <n v="115.2"/>
    <n v="114.3"/>
    <n v="126.4"/>
    <n v="115.1"/>
    <n v="116.71999999999998"/>
  </r>
  <r>
    <x v="2"/>
    <x v="1"/>
    <x v="12"/>
    <n v="116.5"/>
    <n v="122.9"/>
    <n v="123.2"/>
    <n v="123.5"/>
    <n v="124.5"/>
    <n v="107.6"/>
    <x v="62"/>
    <x v="68"/>
    <n v="117.6"/>
    <n v="100.6"/>
    <n v="119.1"/>
    <n v="116.8"/>
    <n v="126.1"/>
    <n v="123.6"/>
    <n v="123"/>
    <n v="122.6"/>
    <n v="118.6"/>
    <n v="122"/>
    <n v="115.7"/>
    <n v="117.5"/>
    <n v="115.1"/>
    <n v="110.1"/>
    <n v="113.9"/>
    <n v="119.5"/>
    <n v="109.8"/>
    <n v="113.8"/>
    <n v="119.4"/>
    <n v="123.6"/>
    <n v="116.5"/>
    <n v="119.5"/>
    <n v="115.7"/>
    <n v="115.1"/>
    <n v="110.1"/>
    <n v="115.9"/>
    <n v="113.9"/>
    <n v="123"/>
    <n v="115.65"/>
    <n v="116.89500000000001"/>
  </r>
  <r>
    <x v="0"/>
    <x v="2"/>
    <x v="0"/>
    <s v="NA"/>
    <n v="123.1"/>
    <n v="123.1"/>
    <n v="122.1"/>
    <n v="124.9"/>
    <n v="111"/>
    <x v="65"/>
    <x v="69"/>
    <n v="117.2"/>
    <n v="100.5"/>
    <n v="117.2"/>
    <n v="117.9"/>
    <n v="125.6"/>
    <n v="122.8"/>
    <n v="122.7"/>
    <n v="124.4"/>
    <n v="121.6"/>
    <n v="124"/>
    <n v="118.4"/>
    <n v="118.9"/>
    <n v="116.6"/>
    <n v="111"/>
    <n v="114"/>
    <n v="118.2"/>
    <n v="110.2"/>
    <n v="114.5"/>
    <n v="120.3"/>
    <n v="122.8"/>
    <s v="NA"/>
    <n v="118.2"/>
    <n v="118.4"/>
    <n v="116.6"/>
    <n v="111"/>
    <n v="117.1"/>
    <n v="114"/>
    <n v="122.7"/>
    <n v="116.7"/>
    <n v="117.5"/>
  </r>
  <r>
    <x v="1"/>
    <x v="2"/>
    <x v="0"/>
    <n v="117.3"/>
    <n v="124"/>
    <n v="125.5"/>
    <n v="126.6"/>
    <n v="125.2"/>
    <n v="104.3"/>
    <x v="66"/>
    <x v="70"/>
    <n v="122.9"/>
    <n v="96.1"/>
    <n v="126.6"/>
    <n v="116.5"/>
    <n v="128"/>
    <n v="123.5"/>
    <n v="127.4"/>
    <n v="121"/>
    <n v="116.1"/>
    <n v="120.2"/>
    <n v="113.4"/>
    <n v="117.2"/>
    <n v="113.7"/>
    <n v="107.9"/>
    <n v="114.6"/>
    <n v="120.8"/>
    <n v="111.4"/>
    <n v="113.4"/>
    <n v="118.5"/>
    <n v="123.5"/>
    <n v="117.3"/>
    <n v="120.8"/>
    <n v="113.4"/>
    <n v="113.7"/>
    <n v="107.9"/>
    <n v="115.80000000000001"/>
    <n v="114.6"/>
    <n v="127.4"/>
    <n v="115.30000000000001"/>
    <n v="116.97"/>
  </r>
  <r>
    <x v="2"/>
    <x v="2"/>
    <x v="0"/>
    <n v="117.3"/>
    <n v="123.4"/>
    <n v="123.9"/>
    <n v="123.8"/>
    <n v="125"/>
    <n v="108.5"/>
    <x v="67"/>
    <x v="71"/>
    <n v="119.1"/>
    <n v="99"/>
    <n v="120.3"/>
    <n v="117.3"/>
    <n v="126.7"/>
    <n v="123.1"/>
    <n v="124"/>
    <n v="123.1"/>
    <n v="119.3"/>
    <n v="122.5"/>
    <n v="116.5"/>
    <n v="118.1"/>
    <n v="115.5"/>
    <n v="109.4"/>
    <n v="114.3"/>
    <n v="119.7"/>
    <n v="110.7"/>
    <n v="114"/>
    <n v="119.5"/>
    <n v="123.1"/>
    <n v="117.3"/>
    <n v="119.7"/>
    <n v="116.5"/>
    <n v="115.5"/>
    <n v="109.4"/>
    <n v="116.6"/>
    <n v="114.3"/>
    <n v="124"/>
    <n v="116.05"/>
    <n v="117.24499999999998"/>
  </r>
  <r>
    <x v="0"/>
    <x v="2"/>
    <x v="1"/>
    <s v="NA"/>
    <n v="123.4"/>
    <n v="124.4"/>
    <n v="122.1"/>
    <n v="125.8"/>
    <n v="111.5"/>
    <x v="68"/>
    <x v="72"/>
    <n v="118.8"/>
    <n v="100"/>
    <n v="118.6"/>
    <n v="118.8"/>
    <n v="126.8"/>
    <n v="122.8"/>
    <n v="124.2"/>
    <n v="125.4"/>
    <n v="122.7"/>
    <n v="125"/>
    <n v="120"/>
    <n v="119.6"/>
    <n v="117.7"/>
    <n v="110.9"/>
    <n v="114.8"/>
    <n v="118.7"/>
    <n v="110.8"/>
    <n v="115"/>
    <n v="120.6"/>
    <n v="122.8"/>
    <s v="NA"/>
    <n v="118.7"/>
    <n v="120"/>
    <n v="117.7"/>
    <n v="110.9"/>
    <n v="117.9"/>
    <n v="114.8"/>
    <n v="124.2"/>
    <n v="117.3"/>
    <n v="118.25555555555555"/>
  </r>
  <r>
    <x v="1"/>
    <x v="2"/>
    <x v="1"/>
    <n v="118.1"/>
    <n v="124.3"/>
    <n v="126.5"/>
    <n v="119.5"/>
    <n v="125.6"/>
    <n v="104.9"/>
    <x v="69"/>
    <x v="73"/>
    <n v="125.1"/>
    <n v="95"/>
    <n v="127.7"/>
    <n v="116.8"/>
    <n v="128.6"/>
    <n v="123.7"/>
    <n v="128.1"/>
    <n v="121.3"/>
    <n v="116.5"/>
    <n v="120.6"/>
    <n v="114"/>
    <n v="117.7"/>
    <n v="114.1"/>
    <n v="106.8"/>
    <n v="114.9"/>
    <n v="120.4"/>
    <n v="111.7"/>
    <n v="113.2"/>
    <n v="118.7"/>
    <n v="123.7"/>
    <n v="118.1"/>
    <n v="120.4"/>
    <n v="114"/>
    <n v="114.1"/>
    <n v="106.8"/>
    <n v="116.15"/>
    <n v="114.9"/>
    <n v="128.1"/>
    <n v="115.45"/>
    <n v="117.17"/>
  </r>
  <r>
    <x v="2"/>
    <x v="2"/>
    <x v="1"/>
    <n v="118.1"/>
    <n v="123.7"/>
    <n v="125.1"/>
    <n v="121.1"/>
    <n v="125.7"/>
    <n v="109.1"/>
    <x v="46"/>
    <x v="74"/>
    <n v="120.9"/>
    <n v="98.3"/>
    <n v="121.6"/>
    <n v="118"/>
    <n v="127.6"/>
    <n v="123.1"/>
    <n v="125.2"/>
    <n v="123.8"/>
    <n v="120.1"/>
    <n v="123.3"/>
    <n v="117.7"/>
    <n v="118.7"/>
    <n v="116.3"/>
    <n v="108.7"/>
    <n v="114.9"/>
    <n v="119.7"/>
    <n v="111.2"/>
    <n v="114.1"/>
    <n v="119.7"/>
    <n v="123.1"/>
    <n v="118.1"/>
    <n v="119.7"/>
    <n v="117.7"/>
    <n v="116.3"/>
    <n v="108.7"/>
    <n v="117.25"/>
    <n v="114.9"/>
    <n v="125.2"/>
    <n v="116.4"/>
    <n v="117.73500000000001"/>
  </r>
  <r>
    <x v="0"/>
    <x v="2"/>
    <x v="2"/>
    <s v="NA"/>
    <n v="123.3"/>
    <n v="124.7"/>
    <n v="118.9"/>
    <n v="126"/>
    <n v="111.8"/>
    <x v="70"/>
    <x v="75"/>
    <n v="119.9"/>
    <n v="98.9"/>
    <n v="119.4"/>
    <n v="118.9"/>
    <n v="127.7"/>
    <n v="123.1"/>
    <n v="124.7"/>
    <n v="126"/>
    <n v="122.9"/>
    <n v="125.5"/>
    <n v="120.6"/>
    <n v="120.2"/>
    <n v="118.2"/>
    <n v="111.6"/>
    <n v="115.5"/>
    <n v="119.4"/>
    <n v="110.8"/>
    <n v="115.5"/>
    <n v="121.1"/>
    <n v="123.1"/>
    <s v="NA"/>
    <n v="119.4"/>
    <n v="120.6"/>
    <n v="118.2"/>
    <n v="111.6"/>
    <n v="118.15"/>
    <n v="115.5"/>
    <n v="124.7"/>
    <n v="117.85"/>
    <n v="118.78888888888888"/>
  </r>
  <r>
    <x v="1"/>
    <x v="2"/>
    <x v="2"/>
    <n v="118.6"/>
    <n v="124"/>
    <n v="126.7"/>
    <n v="113.5"/>
    <n v="125.9"/>
    <n v="104.8"/>
    <x v="71"/>
    <x v="76"/>
    <n v="127.2"/>
    <n v="93.2"/>
    <n v="127.4"/>
    <n v="117"/>
    <n v="129.19999999999999"/>
    <n v="123.9"/>
    <n v="128.80000000000001"/>
    <n v="121.7"/>
    <n v="116.9"/>
    <n v="120.9"/>
    <n v="114.4"/>
    <n v="118"/>
    <n v="114.3"/>
    <n v="108.4"/>
    <n v="115.4"/>
    <n v="120.6"/>
    <n v="111.3"/>
    <n v="113.8"/>
    <n v="119.1"/>
    <n v="123.9"/>
    <n v="118.6"/>
    <n v="120.6"/>
    <n v="114.4"/>
    <n v="114.3"/>
    <n v="108.4"/>
    <n v="116.1"/>
    <n v="115.4"/>
    <n v="128.80000000000001"/>
    <n v="115.9"/>
    <n v="117.64000000000001"/>
  </r>
  <r>
    <x v="2"/>
    <x v="2"/>
    <x v="2"/>
    <n v="118.6"/>
    <n v="123.5"/>
    <n v="125.4"/>
    <n v="116.8"/>
    <n v="126"/>
    <n v="109.2"/>
    <x v="72"/>
    <x v="17"/>
    <n v="122.4"/>
    <n v="97"/>
    <n v="122.1"/>
    <n v="118.1"/>
    <n v="128.4"/>
    <n v="123.4"/>
    <n v="125.8"/>
    <n v="124.3"/>
    <n v="120.4"/>
    <n v="123.7"/>
    <n v="118.3"/>
    <n v="119.2"/>
    <n v="116.7"/>
    <n v="109.9"/>
    <n v="115.4"/>
    <n v="120.1"/>
    <n v="111"/>
    <n v="114.7"/>
    <n v="120.2"/>
    <n v="123.4"/>
    <n v="118.6"/>
    <n v="120.1"/>
    <n v="118.3"/>
    <n v="116.7"/>
    <n v="109.9"/>
    <n v="117.35"/>
    <n v="115.4"/>
    <n v="125.8"/>
    <n v="116.95"/>
    <n v="118.25"/>
  </r>
  <r>
    <x v="0"/>
    <x v="2"/>
    <x v="3"/>
    <s v="NA"/>
    <n v="123.3"/>
    <n v="125.5"/>
    <n v="117.2"/>
    <n v="126.8"/>
    <n v="111.9"/>
    <x v="73"/>
    <x v="77"/>
    <n v="121.5"/>
    <n v="97.8"/>
    <n v="119.8"/>
    <n v="119.4"/>
    <n v="128.69999999999999"/>
    <n v="123.6"/>
    <n v="125.7"/>
    <n v="126.4"/>
    <n v="123.3"/>
    <n v="126"/>
    <n v="121.2"/>
    <n v="120.9"/>
    <n v="118.6"/>
    <n v="111.9"/>
    <n v="116.2"/>
    <n v="119.9"/>
    <n v="111.6"/>
    <n v="116"/>
    <n v="121.5"/>
    <n v="123.6"/>
    <s v="NA"/>
    <n v="119.9"/>
    <n v="121.2"/>
    <n v="118.6"/>
    <n v="111.9"/>
    <n v="118.8"/>
    <n v="116.2"/>
    <n v="125.7"/>
    <n v="118.45"/>
    <n v="119.37222222222221"/>
  </r>
  <r>
    <x v="1"/>
    <x v="2"/>
    <x v="3"/>
    <n v="119.2"/>
    <n v="123.8"/>
    <n v="128.19999999999999"/>
    <n v="110"/>
    <n v="126.3"/>
    <n v="104.5"/>
    <x v="74"/>
    <x v="78"/>
    <n v="131.30000000000001"/>
    <n v="91.6"/>
    <n v="127.7"/>
    <n v="117.2"/>
    <n v="129.5"/>
    <n v="124.6"/>
    <n v="130.1"/>
    <n v="122.1"/>
    <n v="117.2"/>
    <n v="121.3"/>
    <n v="114.7"/>
    <n v="118.4"/>
    <n v="114.6"/>
    <n v="108.4"/>
    <n v="115.6"/>
    <n v="121.7"/>
    <n v="111.8"/>
    <n v="114.2"/>
    <n v="119.7"/>
    <n v="124.6"/>
    <n v="119.2"/>
    <n v="121.7"/>
    <n v="114.7"/>
    <n v="114.6"/>
    <n v="108.4"/>
    <n v="116.55"/>
    <n v="115.6"/>
    <n v="130.1"/>
    <n v="116.30000000000001"/>
    <n v="118.17499999999998"/>
  </r>
  <r>
    <x v="2"/>
    <x v="2"/>
    <x v="3"/>
    <n v="119.2"/>
    <n v="123.5"/>
    <n v="126.4"/>
    <n v="114.4"/>
    <n v="126.6"/>
    <n v="109.2"/>
    <x v="75"/>
    <x v="79"/>
    <n v="124.8"/>
    <n v="95.7"/>
    <n v="122.4"/>
    <n v="118.5"/>
    <n v="129.1"/>
    <n v="124"/>
    <n v="126.9"/>
    <n v="124.7"/>
    <n v="120.8"/>
    <n v="124.1"/>
    <n v="118.7"/>
    <n v="119.7"/>
    <n v="117.1"/>
    <n v="110.1"/>
    <n v="115.9"/>
    <n v="121"/>
    <n v="111.7"/>
    <n v="115.1"/>
    <n v="120.7"/>
    <n v="124"/>
    <n v="119.2"/>
    <n v="121"/>
    <n v="118.7"/>
    <n v="117.1"/>
    <n v="110.1"/>
    <n v="117.9"/>
    <n v="115.9"/>
    <n v="126.9"/>
    <n v="117.4"/>
    <n v="118.82000000000001"/>
  </r>
  <r>
    <x v="0"/>
    <x v="2"/>
    <x v="4"/>
    <s v="NA"/>
    <n v="123.5"/>
    <n v="127.1"/>
    <n v="117.3"/>
    <n v="127.7"/>
    <n v="112.5"/>
    <x v="76"/>
    <x v="80"/>
    <n v="124.3"/>
    <n v="97.6"/>
    <n v="120.7"/>
    <n v="120.2"/>
    <n v="129.80000000000001"/>
    <n v="124.4"/>
    <n v="126.7"/>
    <n v="127.3"/>
    <n v="124.1"/>
    <n v="126.8"/>
    <n v="121.9"/>
    <n v="121.5"/>
    <n v="119.4"/>
    <n v="113.3"/>
    <n v="116.7"/>
    <n v="120.5"/>
    <n v="112.3"/>
    <n v="116.9"/>
    <n v="122.4"/>
    <n v="124.4"/>
    <s v="NA"/>
    <n v="120.5"/>
    <n v="121.9"/>
    <n v="119.4"/>
    <n v="113.3"/>
    <n v="119.55"/>
    <n v="116.7"/>
    <n v="126.7"/>
    <n v="119.2"/>
    <n v="120.18333333333334"/>
  </r>
  <r>
    <x v="1"/>
    <x v="2"/>
    <x v="4"/>
    <n v="119.6"/>
    <n v="123.8"/>
    <n v="129.69999999999999"/>
    <n v="111.3"/>
    <n v="126.6"/>
    <n v="105.2"/>
    <x v="77"/>
    <x v="81"/>
    <n v="142.6"/>
    <n v="90.8"/>
    <n v="128.80000000000001"/>
    <n v="117.7"/>
    <n v="129.9"/>
    <n v="126.1"/>
    <n v="131.30000000000001"/>
    <n v="122.4"/>
    <n v="117.4"/>
    <n v="121.6"/>
    <n v="114.9"/>
    <n v="118.7"/>
    <n v="114.9"/>
    <n v="110.8"/>
    <n v="116"/>
    <n v="122"/>
    <n v="112.4"/>
    <n v="115.2"/>
    <n v="120.7"/>
    <n v="126.1"/>
    <n v="119.6"/>
    <n v="122"/>
    <n v="114.9"/>
    <n v="114.9"/>
    <n v="110.8"/>
    <n v="117"/>
    <n v="116"/>
    <n v="131.30000000000001"/>
    <n v="116.95"/>
    <n v="118.955"/>
  </r>
  <r>
    <x v="2"/>
    <x v="2"/>
    <x v="4"/>
    <n v="119.6"/>
    <n v="123.6"/>
    <n v="128"/>
    <n v="115"/>
    <n v="127.3"/>
    <n v="109.8"/>
    <x v="78"/>
    <x v="82"/>
    <n v="130.5"/>
    <n v="95.3"/>
    <n v="123.4"/>
    <n v="119.2"/>
    <n v="129.80000000000001"/>
    <n v="125"/>
    <n v="127.9"/>
    <n v="125.4"/>
    <n v="121.3"/>
    <n v="124.7"/>
    <n v="119.2"/>
    <n v="120.2"/>
    <n v="117.7"/>
    <n v="112"/>
    <n v="116.3"/>
    <n v="121.4"/>
    <n v="112.3"/>
    <n v="116.1"/>
    <n v="121.6"/>
    <n v="125"/>
    <n v="119.6"/>
    <n v="121.4"/>
    <n v="119.2"/>
    <n v="117.7"/>
    <n v="112"/>
    <n v="118.5"/>
    <n v="116.3"/>
    <n v="127.9"/>
    <n v="118.15"/>
    <n v="119.575"/>
  </r>
  <r>
    <x v="0"/>
    <x v="2"/>
    <x v="5"/>
    <s v="NA"/>
    <n v="124.1"/>
    <n v="130.4"/>
    <n v="122.1"/>
    <n v="128.69999999999999"/>
    <n v="114.1"/>
    <x v="79"/>
    <x v="83"/>
    <n v="131.9"/>
    <n v="96.3"/>
    <n v="123"/>
    <n v="121.1"/>
    <n v="131.19999999999999"/>
    <n v="126.6"/>
    <n v="128.19999999999999"/>
    <n v="128.4"/>
    <n v="125.1"/>
    <n v="128"/>
    <n v="122.6"/>
    <n v="122.8"/>
    <n v="120.4"/>
    <n v="114.2"/>
    <n v="117.9"/>
    <n v="122"/>
    <n v="113"/>
    <n v="117.9"/>
    <n v="124.1"/>
    <n v="126.6"/>
    <s v="NA"/>
    <n v="122"/>
    <n v="122.6"/>
    <n v="120.4"/>
    <n v="114.2"/>
    <n v="120.5"/>
    <n v="117.9"/>
    <n v="128.19999999999999"/>
    <n v="120.35"/>
    <n v="121.41666666666667"/>
  </r>
  <r>
    <x v="1"/>
    <x v="2"/>
    <x v="5"/>
    <n v="119"/>
    <n v="123.6"/>
    <n v="134.4"/>
    <n v="120.9"/>
    <n v="127.3"/>
    <n v="106"/>
    <x v="80"/>
    <x v="84"/>
    <n v="148.1"/>
    <n v="89.8"/>
    <n v="130.5"/>
    <n v="118"/>
    <n v="130.5"/>
    <n v="128.5"/>
    <n v="132.1"/>
    <n v="123.2"/>
    <n v="117.6"/>
    <n v="122.3"/>
    <n v="115.1"/>
    <n v="119.2"/>
    <n v="115.4"/>
    <n v="111.7"/>
    <n v="116.2"/>
    <n v="123.8"/>
    <n v="112.5"/>
    <n v="116"/>
    <n v="121.7"/>
    <n v="128.5"/>
    <n v="119"/>
    <n v="123.8"/>
    <n v="115.1"/>
    <n v="115.4"/>
    <n v="111.7"/>
    <n v="117.4"/>
    <n v="116.2"/>
    <n v="132.1"/>
    <n v="117.6"/>
    <n v="119.67999999999999"/>
  </r>
  <r>
    <x v="2"/>
    <x v="2"/>
    <x v="5"/>
    <n v="119"/>
    <n v="123.9"/>
    <n v="131.80000000000001"/>
    <n v="121.6"/>
    <n v="128.19999999999999"/>
    <n v="111.1"/>
    <x v="81"/>
    <x v="85"/>
    <n v="137.4"/>
    <n v="94.1"/>
    <n v="125.5"/>
    <n v="119.8"/>
    <n v="130.9"/>
    <n v="127.3"/>
    <n v="129.19999999999999"/>
    <n v="126.4"/>
    <n v="122"/>
    <n v="125.7"/>
    <n v="119.8"/>
    <n v="121.1"/>
    <n v="118.5"/>
    <n v="112.9"/>
    <n v="116.9"/>
    <n v="123.1"/>
    <n v="112.8"/>
    <n v="117"/>
    <n v="123"/>
    <n v="127.3"/>
    <n v="119"/>
    <n v="123.1"/>
    <n v="119.8"/>
    <n v="118.5"/>
    <n v="112.9"/>
    <n v="119.25"/>
    <n v="116.9"/>
    <n v="129.19999999999999"/>
    <n v="119.05"/>
    <n v="120.5"/>
  </r>
  <r>
    <x v="0"/>
    <x v="2"/>
    <x v="6"/>
    <s v="NA"/>
    <n v="124"/>
    <n v="131.5"/>
    <n v="122"/>
    <n v="128.69999999999999"/>
    <n v="113.5"/>
    <x v="82"/>
    <x v="86"/>
    <n v="133.80000000000001"/>
    <n v="94.1"/>
    <n v="123.4"/>
    <n v="121"/>
    <n v="131.69999999999999"/>
    <n v="127.5"/>
    <n v="129.4"/>
    <n v="128.80000000000001"/>
    <n v="125.5"/>
    <n v="128.30000000000001"/>
    <n v="123"/>
    <n v="123"/>
    <n v="120.8"/>
    <n v="114.1"/>
    <n v="118"/>
    <n v="122.9"/>
    <n v="112.7"/>
    <n v="118.1"/>
    <n v="124.7"/>
    <n v="127.5"/>
    <s v="NA"/>
    <n v="122.9"/>
    <n v="123"/>
    <n v="120.8"/>
    <n v="114.1"/>
    <n v="120.5"/>
    <n v="118"/>
    <n v="129.4"/>
    <n v="120.55"/>
    <n v="121.86111111111111"/>
  </r>
  <r>
    <x v="1"/>
    <x v="2"/>
    <x v="6"/>
    <n v="119.9"/>
    <n v="123.2"/>
    <n v="134.30000000000001"/>
    <n v="119.5"/>
    <n v="127.7"/>
    <n v="106.3"/>
    <x v="81"/>
    <x v="87"/>
    <n v="149.5"/>
    <n v="85.7"/>
    <n v="131.5"/>
    <n v="118.3"/>
    <n v="131.1"/>
    <n v="129.5"/>
    <n v="133.1"/>
    <n v="123.5"/>
    <n v="117.9"/>
    <n v="122.7"/>
    <n v="115.3"/>
    <n v="119.5"/>
    <n v="116"/>
    <n v="111.5"/>
    <n v="116.6"/>
    <n v="125.4"/>
    <n v="111.7"/>
    <n v="116.3"/>
    <n v="122.4"/>
    <n v="129.5"/>
    <n v="119.9"/>
    <n v="125.4"/>
    <n v="115.3"/>
    <n v="116"/>
    <n v="111.5"/>
    <n v="117.2"/>
    <n v="116.6"/>
    <n v="133.1"/>
    <n v="117.9"/>
    <n v="120.24000000000001"/>
  </r>
  <r>
    <x v="2"/>
    <x v="2"/>
    <x v="6"/>
    <n v="119.9"/>
    <n v="123.7"/>
    <n v="132.5"/>
    <n v="121"/>
    <n v="128.30000000000001"/>
    <n v="110.9"/>
    <x v="83"/>
    <x v="88"/>
    <n v="139.1"/>
    <n v="91.3"/>
    <n v="126.1"/>
    <n v="119.9"/>
    <n v="131.4"/>
    <n v="128.19999999999999"/>
    <n v="130.4"/>
    <n v="126.7"/>
    <n v="122.3"/>
    <n v="126.1"/>
    <n v="120.1"/>
    <n v="121.3"/>
    <n v="119"/>
    <n v="112.7"/>
    <n v="117.2"/>
    <n v="124.4"/>
    <n v="112.3"/>
    <n v="117.2"/>
    <n v="123.6"/>
    <n v="128.19999999999999"/>
    <n v="119.9"/>
    <n v="124.4"/>
    <n v="120.1"/>
    <n v="119"/>
    <n v="112.7"/>
    <n v="119.19999999999999"/>
    <n v="117.2"/>
    <n v="130.4"/>
    <n v="119.25"/>
    <n v="121.03500000000001"/>
  </r>
  <r>
    <x v="0"/>
    <x v="2"/>
    <x v="7"/>
    <s v="NA"/>
    <n v="124.7"/>
    <n v="131.30000000000001"/>
    <n v="121.3"/>
    <n v="128.80000000000001"/>
    <n v="114"/>
    <x v="73"/>
    <x v="89"/>
    <n v="137.9"/>
    <n v="93.1"/>
    <n v="123.9"/>
    <n v="121.5"/>
    <n v="132.5"/>
    <n v="129.80000000000001"/>
    <n v="130.1"/>
    <n v="129.5"/>
    <n v="126.3"/>
    <n v="129"/>
    <n v="123.8"/>
    <n v="123.7"/>
    <n v="121.1"/>
    <n v="113.6"/>
    <n v="118.5"/>
    <n v="123.6"/>
    <n v="112.5"/>
    <n v="118.2"/>
    <n v="126.1"/>
    <n v="129.80000000000001"/>
    <s v="NA"/>
    <n v="123.6"/>
    <n v="123.8"/>
    <n v="121.1"/>
    <n v="113.6"/>
    <n v="120.75"/>
    <n v="118.5"/>
    <n v="130.1"/>
    <n v="120.95"/>
    <n v="122.46666666666667"/>
  </r>
  <r>
    <x v="1"/>
    <x v="2"/>
    <x v="7"/>
    <n v="120.9"/>
    <n v="123.1"/>
    <n v="131.69999999999999"/>
    <n v="118.1"/>
    <n v="128"/>
    <n v="106.8"/>
    <x v="84"/>
    <x v="90"/>
    <n v="156"/>
    <n v="85.3"/>
    <n v="132.69999999999999"/>
    <n v="118.8"/>
    <n v="131.69999999999999"/>
    <n v="131.1"/>
    <n v="134.19999999999999"/>
    <n v="123.7"/>
    <n v="118.2"/>
    <n v="122.9"/>
    <n v="115.3"/>
    <n v="120"/>
    <n v="116.6"/>
    <n v="109.9"/>
    <n v="117.2"/>
    <n v="126.2"/>
    <n v="112"/>
    <n v="116.2"/>
    <n v="123.2"/>
    <n v="131.1"/>
    <n v="120.9"/>
    <n v="126.2"/>
    <n v="115.3"/>
    <n v="116.6"/>
    <n v="109.9"/>
    <n v="117.45"/>
    <n v="117.2"/>
    <n v="134.19999999999999"/>
    <n v="118.1"/>
    <n v="120.69500000000001"/>
  </r>
  <r>
    <x v="2"/>
    <x v="2"/>
    <x v="7"/>
    <n v="120.9"/>
    <n v="124.2"/>
    <n v="131.4"/>
    <n v="120.1"/>
    <n v="128.5"/>
    <n v="111.4"/>
    <x v="80"/>
    <x v="91"/>
    <n v="144"/>
    <n v="90.5"/>
    <n v="126.8"/>
    <n v="120.4"/>
    <n v="132.1"/>
    <n v="130.30000000000001"/>
    <n v="131.19999999999999"/>
    <n v="127.2"/>
    <n v="122.9"/>
    <n v="126.6"/>
    <n v="120.6"/>
    <n v="122"/>
    <n v="119.4"/>
    <n v="111.7"/>
    <n v="117.8"/>
    <n v="125.1"/>
    <n v="112.3"/>
    <n v="117.2"/>
    <n v="124.8"/>
    <n v="130.30000000000001"/>
    <n v="120.9"/>
    <n v="125.1"/>
    <n v="120.6"/>
    <n v="119.4"/>
    <n v="111.7"/>
    <n v="119.44999999999999"/>
    <n v="117.8"/>
    <n v="131.19999999999999"/>
    <n v="119.6"/>
    <n v="121.60499999999999"/>
  </r>
  <r>
    <x v="0"/>
    <x v="2"/>
    <x v="8"/>
    <s v="NA"/>
    <n v="125.1"/>
    <n v="131.1"/>
    <n v="120.7"/>
    <n v="129.19999999999999"/>
    <n v="114.7"/>
    <x v="80"/>
    <x v="92"/>
    <n v="142.1"/>
    <n v="92.5"/>
    <n v="125.4"/>
    <n v="121.9"/>
    <n v="132.69999999999999"/>
    <n v="131"/>
    <n v="131"/>
    <n v="130.4"/>
    <n v="126.8"/>
    <n v="129.9"/>
    <n v="123.7"/>
    <n v="124.5"/>
    <n v="121.4"/>
    <n v="113.8"/>
    <n v="119.6"/>
    <n v="124.5"/>
    <n v="113.7"/>
    <n v="118.8"/>
    <n v="127"/>
    <n v="131"/>
    <s v="NA"/>
    <n v="124.5"/>
    <n v="123.7"/>
    <n v="121.4"/>
    <n v="113.8"/>
    <n v="121.80000000000001"/>
    <n v="119.6"/>
    <n v="131"/>
    <n v="121.65"/>
    <n v="123.16111111111111"/>
  </r>
  <r>
    <x v="1"/>
    <x v="2"/>
    <x v="8"/>
    <n v="121.6"/>
    <n v="123.4"/>
    <n v="129"/>
    <n v="115.6"/>
    <n v="128.30000000000001"/>
    <n v="107"/>
    <x v="85"/>
    <x v="93"/>
    <n v="165.4"/>
    <n v="86.3"/>
    <n v="134.4"/>
    <n v="119.1"/>
    <n v="132.30000000000001"/>
    <n v="131.5"/>
    <n v="134.69999999999999"/>
    <n v="124"/>
    <n v="118.6"/>
    <n v="123.2"/>
    <n v="115.1"/>
    <n v="120.4"/>
    <n v="117.1"/>
    <n v="109.1"/>
    <n v="117.3"/>
    <n v="126.5"/>
    <n v="112.9"/>
    <n v="116.2"/>
    <n v="123.5"/>
    <n v="131.5"/>
    <n v="121.6"/>
    <n v="126.5"/>
    <n v="115.1"/>
    <n v="117.1"/>
    <n v="109.1"/>
    <n v="118.05000000000001"/>
    <n v="117.3"/>
    <n v="134.69999999999999"/>
    <n v="118.30000000000001"/>
    <n v="120.925"/>
  </r>
  <r>
    <x v="2"/>
    <x v="2"/>
    <x v="8"/>
    <n v="121.6"/>
    <n v="124.6"/>
    <n v="130.4"/>
    <n v="118.7"/>
    <n v="128.9"/>
    <n v="111.9"/>
    <x v="86"/>
    <x v="94"/>
    <n v="150"/>
    <n v="90.4"/>
    <n v="128.4"/>
    <n v="120.7"/>
    <n v="132.5"/>
    <n v="131.19999999999999"/>
    <n v="132"/>
    <n v="127.9"/>
    <n v="123.4"/>
    <n v="127.2"/>
    <n v="120.4"/>
    <n v="122.6"/>
    <n v="119.8"/>
    <n v="111.3"/>
    <n v="118.3"/>
    <n v="125.7"/>
    <n v="113.4"/>
    <n v="117.5"/>
    <n v="125.4"/>
    <n v="131.19999999999999"/>
    <n v="121.6"/>
    <n v="125.7"/>
    <n v="120.4"/>
    <n v="119.8"/>
    <n v="111.3"/>
    <n v="120.30000000000001"/>
    <n v="118.3"/>
    <n v="132"/>
    <n v="120.05"/>
    <n v="122.06499999999998"/>
  </r>
  <r>
    <x v="0"/>
    <x v="2"/>
    <x v="9"/>
    <s v="NA"/>
    <n v="125.6"/>
    <n v="130.4"/>
    <n v="120.8"/>
    <n v="129.4"/>
    <n v="115.8"/>
    <x v="79"/>
    <x v="53"/>
    <n v="154.19999999999999"/>
    <n v="93.7"/>
    <n v="126.6"/>
    <n v="122.3"/>
    <n v="133.1"/>
    <n v="131.80000000000001"/>
    <n v="131.5"/>
    <n v="131.1"/>
    <n v="127.3"/>
    <n v="130.6"/>
    <n v="124.4"/>
    <n v="125.1"/>
    <n v="122"/>
    <n v="113.8"/>
    <n v="120.1"/>
    <n v="125.1"/>
    <n v="114.2"/>
    <n v="119.2"/>
    <n v="127.7"/>
    <n v="131.80000000000001"/>
    <s v="NA"/>
    <n v="125.1"/>
    <n v="124.4"/>
    <n v="122"/>
    <n v="113.8"/>
    <n v="122.4"/>
    <n v="120.1"/>
    <n v="131.5"/>
    <n v="122.15"/>
    <n v="123.69444444444444"/>
  </r>
  <r>
    <x v="1"/>
    <x v="2"/>
    <x v="9"/>
    <n v="122.4"/>
    <n v="123.6"/>
    <n v="128.6"/>
    <n v="115.9"/>
    <n v="128.5"/>
    <n v="109"/>
    <x v="87"/>
    <x v="95"/>
    <n v="187.2"/>
    <n v="89.4"/>
    <n v="135.80000000000001"/>
    <n v="119.4"/>
    <n v="132.9"/>
    <n v="132.6"/>
    <n v="135.30000000000001"/>
    <n v="124.4"/>
    <n v="118.8"/>
    <n v="123.6"/>
    <n v="114.9"/>
    <n v="120.7"/>
    <n v="117.7"/>
    <n v="109.3"/>
    <n v="117.7"/>
    <n v="126.5"/>
    <n v="113.5"/>
    <n v="116.5"/>
    <n v="124.2"/>
    <n v="132.6"/>
    <n v="122.4"/>
    <n v="126.5"/>
    <n v="114.9"/>
    <n v="117.7"/>
    <n v="109.3"/>
    <n v="118.55"/>
    <n v="117.7"/>
    <n v="135.30000000000001"/>
    <n v="118.6"/>
    <n v="121.35499999999999"/>
  </r>
  <r>
    <x v="2"/>
    <x v="2"/>
    <x v="9"/>
    <n v="122.4"/>
    <n v="125"/>
    <n v="129.80000000000001"/>
    <n v="118.9"/>
    <n v="129.1"/>
    <n v="113.3"/>
    <x v="88"/>
    <x v="96"/>
    <n v="165.3"/>
    <n v="92.3"/>
    <n v="129.69999999999999"/>
    <n v="121.1"/>
    <n v="133"/>
    <n v="132.1"/>
    <n v="132.5"/>
    <n v="128.5"/>
    <n v="123.8"/>
    <n v="127.8"/>
    <n v="120.8"/>
    <n v="123"/>
    <n v="120.4"/>
    <n v="111.4"/>
    <n v="118.7"/>
    <n v="125.9"/>
    <n v="113.9"/>
    <n v="117.9"/>
    <n v="126.1"/>
    <n v="132.1"/>
    <n v="122.4"/>
    <n v="125.9"/>
    <n v="120.8"/>
    <n v="120.4"/>
    <n v="111.4"/>
    <n v="120.85"/>
    <n v="118.7"/>
    <n v="132.5"/>
    <n v="120.45"/>
    <n v="122.55000000000003"/>
  </r>
  <r>
    <x v="0"/>
    <x v="2"/>
    <x v="11"/>
    <s v="NA"/>
    <n v="126.1"/>
    <n v="130.6"/>
    <n v="121.7"/>
    <n v="129.5"/>
    <n v="117.8"/>
    <x v="89"/>
    <x v="97"/>
    <n v="160.80000000000001"/>
    <n v="94.5"/>
    <n v="128.30000000000001"/>
    <n v="123.1"/>
    <n v="134.19999999999999"/>
    <n v="132.4"/>
    <n v="132.19999999999999"/>
    <n v="132.1"/>
    <n v="128.19999999999999"/>
    <n v="131.5"/>
    <n v="125.6"/>
    <n v="125.6"/>
    <n v="122.6"/>
    <n v="114"/>
    <n v="120.9"/>
    <n v="125.8"/>
    <n v="114.2"/>
    <n v="119.6"/>
    <n v="128.30000000000001"/>
    <n v="132.4"/>
    <s v="NA"/>
    <n v="125.8"/>
    <n v="125.6"/>
    <n v="122.6"/>
    <n v="114"/>
    <n v="122.85"/>
    <n v="120.9"/>
    <n v="132.19999999999999"/>
    <n v="122.6"/>
    <n v="124.32777777777775"/>
  </r>
  <r>
    <x v="1"/>
    <x v="2"/>
    <x v="11"/>
    <n v="122.9"/>
    <n v="124"/>
    <n v="129.80000000000001"/>
    <n v="121.5"/>
    <n v="128.6"/>
    <n v="110"/>
    <x v="90"/>
    <x v="98"/>
    <n v="191.6"/>
    <n v="90.8"/>
    <n v="137.1"/>
    <n v="119.8"/>
    <n v="133.69999999999999"/>
    <n v="133.30000000000001"/>
    <n v="137.6"/>
    <n v="125"/>
    <n v="119.3"/>
    <n v="124.2"/>
    <n v="115.1"/>
    <n v="121"/>
    <n v="118.1"/>
    <n v="109.3"/>
    <n v="117.9"/>
    <n v="126.6"/>
    <n v="113.3"/>
    <n v="116.6"/>
    <n v="124.6"/>
    <n v="133.30000000000001"/>
    <n v="122.9"/>
    <n v="126.6"/>
    <n v="115.1"/>
    <n v="118.1"/>
    <n v="109.3"/>
    <n v="118.75"/>
    <n v="117.9"/>
    <n v="137.6"/>
    <n v="118.8"/>
    <n v="121.83499999999999"/>
  </r>
  <r>
    <x v="2"/>
    <x v="2"/>
    <x v="11"/>
    <n v="122.9"/>
    <n v="125.4"/>
    <n v="130.30000000000001"/>
    <n v="121.6"/>
    <n v="129.19999999999999"/>
    <n v="114.9"/>
    <x v="91"/>
    <x v="99"/>
    <n v="171.2"/>
    <n v="93.3"/>
    <n v="131.19999999999999"/>
    <n v="121.7"/>
    <n v="134"/>
    <n v="132.69999999999999"/>
    <n v="133.6"/>
    <n v="129.30000000000001"/>
    <n v="124.5"/>
    <n v="128.6"/>
    <n v="121.6"/>
    <n v="123.4"/>
    <n v="120.9"/>
    <n v="111.5"/>
    <n v="119.2"/>
    <n v="126.3"/>
    <n v="113.8"/>
    <n v="118.1"/>
    <n v="126.6"/>
    <n v="132.69999999999999"/>
    <n v="122.9"/>
    <n v="126.3"/>
    <n v="121.6"/>
    <n v="120.9"/>
    <n v="111.5"/>
    <n v="121.19999999999999"/>
    <n v="119.2"/>
    <n v="133.6"/>
    <n v="120.75"/>
    <n v="123.06499999999998"/>
  </r>
  <r>
    <x v="0"/>
    <x v="2"/>
    <x v="12"/>
    <s v="NA"/>
    <n v="126.3"/>
    <n v="131.30000000000001"/>
    <n v="123.3"/>
    <n v="129.80000000000001"/>
    <n v="118.3"/>
    <x v="92"/>
    <x v="100"/>
    <n v="162.1"/>
    <n v="95.4"/>
    <n v="128.9"/>
    <n v="123.3"/>
    <n v="135.1"/>
    <n v="131.4"/>
    <n v="133.1"/>
    <n v="132.5"/>
    <n v="128.5"/>
    <n v="131.9"/>
    <n v="125.7"/>
    <n v="126"/>
    <n v="123.1"/>
    <n v="114"/>
    <n v="121.6"/>
    <n v="125.6"/>
    <n v="114.1"/>
    <n v="119.8"/>
    <n v="127.9"/>
    <n v="131.4"/>
    <s v="NA"/>
    <n v="125.6"/>
    <n v="125.7"/>
    <n v="123.1"/>
    <n v="114"/>
    <n v="123"/>
    <n v="121.6"/>
    <n v="133.1"/>
    <n v="122.9"/>
    <n v="124.48888888888889"/>
  </r>
  <r>
    <x v="1"/>
    <x v="2"/>
    <x v="12"/>
    <n v="122.4"/>
    <n v="124.3"/>
    <n v="131.69999999999999"/>
    <n v="127.1"/>
    <n v="128.6"/>
    <n v="110"/>
    <x v="93"/>
    <x v="101"/>
    <n v="190.1"/>
    <n v="92.7"/>
    <n v="138.6"/>
    <n v="120.2"/>
    <n v="134.19999999999999"/>
    <n v="131.5"/>
    <n v="138.19999999999999"/>
    <n v="125.4"/>
    <n v="119.5"/>
    <n v="124.5"/>
    <n v="116"/>
    <n v="121"/>
    <n v="118.6"/>
    <n v="109.3"/>
    <n v="118.1"/>
    <n v="126.6"/>
    <n v="113.2"/>
    <n v="116.7"/>
    <n v="124"/>
    <n v="131.5"/>
    <n v="122.4"/>
    <n v="126.6"/>
    <n v="116"/>
    <n v="118.6"/>
    <n v="109.3"/>
    <n v="118.85"/>
    <n v="118.1"/>
    <n v="138.19999999999999"/>
    <n v="118.85"/>
    <n v="121.83999999999999"/>
  </r>
  <r>
    <x v="2"/>
    <x v="2"/>
    <x v="12"/>
    <n v="122.4"/>
    <n v="125.7"/>
    <n v="131.4"/>
    <n v="124.8"/>
    <n v="129.4"/>
    <n v="115.3"/>
    <x v="94"/>
    <x v="84"/>
    <n v="171.5"/>
    <n v="94.5"/>
    <n v="132.1"/>
    <n v="122"/>
    <n v="134.69999999999999"/>
    <n v="131.4"/>
    <n v="134.5"/>
    <n v="129.69999999999999"/>
    <n v="124.8"/>
    <n v="129"/>
    <n v="122"/>
    <n v="123.6"/>
    <n v="121.4"/>
    <n v="111.5"/>
    <n v="119.6"/>
    <n v="126.2"/>
    <n v="113.7"/>
    <n v="118.3"/>
    <n v="126.1"/>
    <n v="131.4"/>
    <n v="122.4"/>
    <n v="126.2"/>
    <n v="122"/>
    <n v="121.4"/>
    <n v="111.5"/>
    <n v="121.35"/>
    <n v="119.6"/>
    <n v="134.5"/>
    <n v="120.94999999999999"/>
    <n v="123.13"/>
  </r>
  <r>
    <x v="0"/>
    <x v="3"/>
    <x v="0"/>
    <s v="NA"/>
    <n v="126.8"/>
    <n v="133.19999999999999"/>
    <n v="126.5"/>
    <n v="130.30000000000001"/>
    <n v="118.9"/>
    <x v="92"/>
    <x v="102"/>
    <n v="163.80000000000001"/>
    <n v="97.7"/>
    <n v="129.6"/>
    <n v="124.3"/>
    <n v="135.9"/>
    <n v="131.4"/>
    <n v="133.6"/>
    <n v="133.19999999999999"/>
    <n v="128.9"/>
    <n v="132.6"/>
    <n v="126.2"/>
    <n v="126.6"/>
    <n v="123.7"/>
    <n v="113.6"/>
    <n v="121.4"/>
    <n v="126.2"/>
    <n v="114.9"/>
    <n v="120.1"/>
    <n v="128.1"/>
    <n v="131.4"/>
    <s v="NA"/>
    <n v="126.2"/>
    <n v="126.2"/>
    <n v="123.7"/>
    <n v="113.6"/>
    <n v="123.75"/>
    <n v="121.4"/>
    <n v="133.6"/>
    <n v="123.35"/>
    <n v="124.80000000000001"/>
  </r>
  <r>
    <x v="1"/>
    <x v="3"/>
    <x v="0"/>
    <n v="123.4"/>
    <n v="124.7"/>
    <n v="135.9"/>
    <n v="132"/>
    <n v="129.19999999999999"/>
    <n v="109.7"/>
    <x v="95"/>
    <x v="103"/>
    <n v="184.2"/>
    <n v="96.7"/>
    <n v="139.5"/>
    <n v="120.5"/>
    <n v="134.69999999999999"/>
    <n v="131.19999999999999"/>
    <n v="139.5"/>
    <n v="125.8"/>
    <n v="119.8"/>
    <n v="124.9"/>
    <n v="116.9"/>
    <n v="121.6"/>
    <n v="119.1"/>
    <n v="108.9"/>
    <n v="118.5"/>
    <n v="126.4"/>
    <n v="114"/>
    <n v="116.8"/>
    <n v="124.2"/>
    <n v="131.19999999999999"/>
    <n v="123.4"/>
    <n v="126.4"/>
    <n v="116.9"/>
    <n v="119.1"/>
    <n v="108.9"/>
    <n v="119.45"/>
    <n v="118.5"/>
    <n v="139.5"/>
    <n v="119.19999999999999"/>
    <n v="122.255"/>
  </r>
  <r>
    <x v="2"/>
    <x v="3"/>
    <x v="0"/>
    <n v="123.4"/>
    <n v="126.1"/>
    <n v="134.1"/>
    <n v="128.6"/>
    <n v="129.9"/>
    <n v="115.5"/>
    <x v="62"/>
    <x v="104"/>
    <n v="170.7"/>
    <n v="97.4"/>
    <n v="132.9"/>
    <n v="122.7"/>
    <n v="135.30000000000001"/>
    <n v="131.30000000000001"/>
    <n v="135.19999999999999"/>
    <n v="130.30000000000001"/>
    <n v="125.1"/>
    <n v="129.5"/>
    <n v="122.7"/>
    <n v="124.2"/>
    <n v="122"/>
    <n v="111.1"/>
    <n v="119.8"/>
    <n v="126.3"/>
    <n v="114.5"/>
    <n v="118.5"/>
    <n v="126.3"/>
    <n v="131.30000000000001"/>
    <n v="123.4"/>
    <n v="126.3"/>
    <n v="122.7"/>
    <n v="122"/>
    <n v="111.1"/>
    <n v="122"/>
    <n v="119.8"/>
    <n v="135.19999999999999"/>
    <n v="121.35"/>
    <n v="123.51499999999999"/>
  </r>
  <r>
    <x v="0"/>
    <x v="3"/>
    <x v="1"/>
    <s v="NA"/>
    <n v="127.1"/>
    <n v="133.69999999999999"/>
    <n v="127.7"/>
    <n v="130.69999999999999"/>
    <n v="118.5"/>
    <x v="65"/>
    <x v="82"/>
    <n v="162.80000000000001"/>
    <n v="98.7"/>
    <n v="130.6"/>
    <n v="124.8"/>
    <n v="136.4"/>
    <n v="130.30000000000001"/>
    <n v="134.4"/>
    <n v="133.9"/>
    <n v="129.80000000000001"/>
    <n v="133.4"/>
    <n v="127.5"/>
    <n v="127.1"/>
    <n v="124.3"/>
    <n v="113.9"/>
    <n v="122.3"/>
    <n v="127.1"/>
    <n v="116.8"/>
    <n v="120.9"/>
    <n v="127.9"/>
    <n v="130.30000000000001"/>
    <s v="NA"/>
    <n v="127.1"/>
    <n v="127.5"/>
    <n v="124.3"/>
    <n v="113.9"/>
    <n v="125.1"/>
    <n v="122.3"/>
    <n v="134.4"/>
    <n v="124"/>
    <n v="125.43333333333334"/>
  </r>
  <r>
    <x v="1"/>
    <x v="3"/>
    <x v="1"/>
    <n v="124.4"/>
    <n v="124.8"/>
    <n v="135.1"/>
    <n v="130.30000000000001"/>
    <n v="129.6"/>
    <n v="108.4"/>
    <x v="96"/>
    <x v="17"/>
    <n v="176.4"/>
    <n v="99.1"/>
    <n v="139.69999999999999"/>
    <n v="120.6"/>
    <n v="135.19999999999999"/>
    <n v="129.1"/>
    <n v="140"/>
    <n v="126.2"/>
    <n v="120.1"/>
    <n v="125.3"/>
    <n v="116"/>
    <n v="121.8"/>
    <n v="119.5"/>
    <n v="109.1"/>
    <n v="118.8"/>
    <n v="126.3"/>
    <n v="116.2"/>
    <n v="117.2"/>
    <n v="123.8"/>
    <n v="129.1"/>
    <n v="124.4"/>
    <n v="126.3"/>
    <n v="116"/>
    <n v="119.5"/>
    <n v="109.1"/>
    <n v="120.75"/>
    <n v="118.8"/>
    <n v="140"/>
    <n v="119.5"/>
    <n v="122.34499999999998"/>
  </r>
  <r>
    <x v="2"/>
    <x v="3"/>
    <x v="1"/>
    <n v="124.4"/>
    <n v="126.4"/>
    <n v="134.19999999999999"/>
    <n v="128.69999999999999"/>
    <n v="130.30000000000001"/>
    <n v="114.8"/>
    <x v="97"/>
    <x v="105"/>
    <n v="167.4"/>
    <n v="98.8"/>
    <n v="133.6"/>
    <n v="123"/>
    <n v="135.80000000000001"/>
    <n v="129.9"/>
    <n v="135.9"/>
    <n v="130.9"/>
    <n v="125.8"/>
    <n v="130.19999999999999"/>
    <n v="123.1"/>
    <n v="124.6"/>
    <n v="122.5"/>
    <n v="111.4"/>
    <n v="120.3"/>
    <n v="126.6"/>
    <n v="116.6"/>
    <n v="119.1"/>
    <n v="126"/>
    <n v="129.9"/>
    <n v="124.4"/>
    <n v="126.6"/>
    <n v="123.1"/>
    <n v="122.5"/>
    <n v="111.4"/>
    <n v="123.39999999999999"/>
    <n v="120.3"/>
    <n v="135.9"/>
    <n v="121.85"/>
    <n v="123.93499999999999"/>
  </r>
  <r>
    <x v="0"/>
    <x v="3"/>
    <x v="2"/>
    <s v="NA"/>
    <n v="127.3"/>
    <n v="134.4"/>
    <n v="125.1"/>
    <n v="130.5"/>
    <n v="118.3"/>
    <x v="98"/>
    <x v="106"/>
    <n v="161.19999999999999"/>
    <n v="100.4"/>
    <n v="130.80000000000001"/>
    <n v="124.9"/>
    <n v="137"/>
    <n v="130.4"/>
    <n v="135"/>
    <n v="134.4"/>
    <n v="130.19999999999999"/>
    <n v="133.80000000000001"/>
    <n v="127"/>
    <n v="127.7"/>
    <n v="124.8"/>
    <n v="113.6"/>
    <n v="122.5"/>
    <n v="127.5"/>
    <n v="117.4"/>
    <n v="121.1"/>
    <n v="128"/>
    <n v="130.4"/>
    <s v="NA"/>
    <n v="127.5"/>
    <n v="127"/>
    <n v="124.8"/>
    <n v="113.6"/>
    <n v="125.60000000000001"/>
    <n v="122.5"/>
    <n v="135"/>
    <n v="124.4"/>
    <n v="125.64444444444445"/>
  </r>
  <r>
    <x v="1"/>
    <x v="3"/>
    <x v="2"/>
    <n v="124.9"/>
    <n v="124.8"/>
    <n v="136.30000000000001"/>
    <n v="123.7"/>
    <n v="129.69999999999999"/>
    <n v="107.9"/>
    <x v="99"/>
    <x v="107"/>
    <n v="170.3"/>
    <n v="101.8"/>
    <n v="140.1"/>
    <n v="120.7"/>
    <n v="135.4"/>
    <n v="128.9"/>
    <n v="140.6"/>
    <n v="126.4"/>
    <n v="120.3"/>
    <n v="125.5"/>
    <n v="114.8"/>
    <n v="122.3"/>
    <n v="119.7"/>
    <n v="108.5"/>
    <n v="119.1"/>
    <n v="126.4"/>
    <n v="117.1"/>
    <n v="117.3"/>
    <n v="123.8"/>
    <n v="128.9"/>
    <n v="124.9"/>
    <n v="126.4"/>
    <n v="114.8"/>
    <n v="119.7"/>
    <n v="108.5"/>
    <n v="121.3"/>
    <n v="119.1"/>
    <n v="140.6"/>
    <n v="119.8"/>
    <n v="122.4"/>
  </r>
  <r>
    <x v="2"/>
    <x v="3"/>
    <x v="2"/>
    <n v="124.9"/>
    <n v="126.5"/>
    <n v="135.1"/>
    <n v="124.6"/>
    <n v="130.19999999999999"/>
    <n v="114.5"/>
    <x v="67"/>
    <x v="108"/>
    <n v="164.3"/>
    <n v="100.9"/>
    <n v="133.9"/>
    <n v="123.1"/>
    <n v="136.30000000000001"/>
    <n v="129.80000000000001"/>
    <n v="136.5"/>
    <n v="131.30000000000001"/>
    <n v="126.1"/>
    <n v="130.5"/>
    <n v="122.4"/>
    <n v="125.1"/>
    <n v="122.9"/>
    <n v="110.9"/>
    <n v="120.6"/>
    <n v="126.9"/>
    <n v="117.3"/>
    <n v="119.3"/>
    <n v="126"/>
    <n v="129.80000000000001"/>
    <n v="124.9"/>
    <n v="126.9"/>
    <n v="122.4"/>
    <n v="122.9"/>
    <n v="110.9"/>
    <n v="123.9"/>
    <n v="120.6"/>
    <n v="136.5"/>
    <n v="122.19999999999999"/>
    <n v="124.1"/>
  </r>
  <r>
    <x v="0"/>
    <x v="3"/>
    <x v="3"/>
    <s v="NA"/>
    <n v="127.4"/>
    <n v="135.4"/>
    <n v="123.4"/>
    <n v="131.30000000000001"/>
    <n v="118.2"/>
    <x v="100"/>
    <x v="109"/>
    <n v="162.69999999999999"/>
    <n v="105"/>
    <n v="131.4"/>
    <n v="125.4"/>
    <n v="137.4"/>
    <n v="131.80000000000001"/>
    <n v="135.5"/>
    <n v="135"/>
    <n v="130.6"/>
    <n v="134.4"/>
    <n v="127"/>
    <n v="128"/>
    <n v="125.2"/>
    <n v="114.4"/>
    <n v="123.2"/>
    <n v="127.9"/>
    <n v="118.4"/>
    <n v="121.7"/>
    <n v="129"/>
    <n v="131.80000000000001"/>
    <s v="NA"/>
    <n v="127.9"/>
    <n v="127"/>
    <n v="125.2"/>
    <n v="114.4"/>
    <n v="126.4"/>
    <n v="123.2"/>
    <n v="135.5"/>
    <n v="124.85"/>
    <n v="126.25"/>
  </r>
  <r>
    <x v="1"/>
    <x v="3"/>
    <x v="3"/>
    <n v="125.6"/>
    <n v="124.9"/>
    <n v="139.30000000000001"/>
    <n v="119.9"/>
    <n v="130.19999999999999"/>
    <n v="108.9"/>
    <x v="53"/>
    <x v="110"/>
    <n v="176.9"/>
    <n v="109.1"/>
    <n v="140.4"/>
    <n v="121.1"/>
    <n v="135.9"/>
    <n v="131.80000000000001"/>
    <n v="141.5"/>
    <n v="126.8"/>
    <n v="120.5"/>
    <n v="125.8"/>
    <n v="114.6"/>
    <n v="122.8"/>
    <n v="120"/>
    <n v="110"/>
    <n v="119.5"/>
    <n v="127.6"/>
    <n v="117.6"/>
    <n v="118.2"/>
    <n v="125.3"/>
    <n v="131.80000000000001"/>
    <n v="125.6"/>
    <n v="127.6"/>
    <n v="114.6"/>
    <n v="120"/>
    <n v="110"/>
    <n v="121.69999999999999"/>
    <n v="119.5"/>
    <n v="141.5"/>
    <n v="120.5"/>
    <n v="123.28"/>
  </r>
  <r>
    <x v="2"/>
    <x v="3"/>
    <x v="3"/>
    <n v="125.6"/>
    <n v="126.6"/>
    <n v="136.80000000000001"/>
    <n v="122"/>
    <n v="130.9"/>
    <n v="114.8"/>
    <x v="101"/>
    <x v="111"/>
    <n v="167.5"/>
    <n v="106.4"/>
    <n v="134.4"/>
    <n v="123.6"/>
    <n v="136.69999999999999"/>
    <n v="131.80000000000001"/>
    <n v="137.1"/>
    <n v="131.80000000000001"/>
    <n v="126.4"/>
    <n v="131"/>
    <n v="122.3"/>
    <n v="125.5"/>
    <n v="123.2"/>
    <n v="112.1"/>
    <n v="121.1"/>
    <n v="127.7"/>
    <n v="118.1"/>
    <n v="120"/>
    <n v="127.3"/>
    <n v="131.80000000000001"/>
    <n v="125.6"/>
    <n v="127.7"/>
    <n v="122.3"/>
    <n v="123.2"/>
    <n v="112.1"/>
    <n v="124.55"/>
    <n v="121.1"/>
    <n v="137.1"/>
    <n v="122.75"/>
    <n v="124.82000000000001"/>
  </r>
  <r>
    <x v="0"/>
    <x v="3"/>
    <x v="4"/>
    <s v="NA"/>
    <n v="127.6"/>
    <n v="137.5"/>
    <n v="124.4"/>
    <n v="132.4"/>
    <n v="118.2"/>
    <x v="100"/>
    <x v="112"/>
    <n v="166"/>
    <n v="107.5"/>
    <n v="132.19999999999999"/>
    <n v="126.1"/>
    <n v="138.30000000000001"/>
    <n v="133.6"/>
    <n v="136"/>
    <n v="135.4"/>
    <n v="131.1"/>
    <n v="134.80000000000001"/>
    <n v="127.4"/>
    <n v="128.5"/>
    <n v="125.8"/>
    <n v="115.1"/>
    <n v="123.6"/>
    <n v="129.1"/>
    <n v="119.7"/>
    <n v="122.5"/>
    <n v="130.30000000000001"/>
    <n v="133.6"/>
    <s v="NA"/>
    <n v="129.1"/>
    <n v="127.4"/>
    <n v="125.8"/>
    <n v="115.1"/>
    <n v="127.25"/>
    <n v="123.6"/>
    <n v="136"/>
    <n v="125.5"/>
    <n v="127.03888888888888"/>
  </r>
  <r>
    <x v="1"/>
    <x v="3"/>
    <x v="4"/>
    <n v="126"/>
    <n v="125"/>
    <n v="142.1"/>
    <n v="127"/>
    <n v="130.4"/>
    <n v="109.6"/>
    <x v="102"/>
    <x v="113"/>
    <n v="182.8"/>
    <n v="111.1"/>
    <n v="141.5"/>
    <n v="121.5"/>
    <n v="136.30000000000001"/>
    <n v="134.6"/>
    <n v="142.19999999999999"/>
    <n v="127.2"/>
    <n v="120.7"/>
    <n v="126.2"/>
    <n v="115"/>
    <n v="123.2"/>
    <n v="120.3"/>
    <n v="110.7"/>
    <n v="119.8"/>
    <n v="128"/>
    <n v="118.5"/>
    <n v="118.7"/>
    <n v="126.6"/>
    <n v="134.6"/>
    <n v="126"/>
    <n v="128"/>
    <n v="115"/>
    <n v="120.3"/>
    <n v="110.7"/>
    <n v="122.35"/>
    <n v="119.8"/>
    <n v="142.19999999999999"/>
    <n v="120.95"/>
    <n v="123.99000000000001"/>
  </r>
  <r>
    <x v="2"/>
    <x v="3"/>
    <x v="4"/>
    <n v="126"/>
    <n v="126.8"/>
    <n v="139.1"/>
    <n v="125.4"/>
    <n v="131.69999999999999"/>
    <n v="115"/>
    <x v="103"/>
    <x v="88"/>
    <n v="171.7"/>
    <n v="108.7"/>
    <n v="135.30000000000001"/>
    <n v="124.2"/>
    <n v="137.4"/>
    <n v="134"/>
    <n v="137.69999999999999"/>
    <n v="132.19999999999999"/>
    <n v="126.8"/>
    <n v="131.4"/>
    <n v="122.7"/>
    <n v="126"/>
    <n v="123.7"/>
    <n v="112.8"/>
    <n v="121.5"/>
    <n v="128.5"/>
    <n v="119.2"/>
    <n v="120.7"/>
    <n v="128.6"/>
    <n v="134"/>
    <n v="126"/>
    <n v="128.5"/>
    <n v="122.7"/>
    <n v="123.7"/>
    <n v="112.8"/>
    <n v="125.30000000000001"/>
    <n v="121.5"/>
    <n v="137.69999999999999"/>
    <n v="123.35"/>
    <n v="125.55499999999999"/>
  </r>
  <r>
    <x v="0"/>
    <x v="3"/>
    <x v="5"/>
    <s v="NA"/>
    <n v="128.6"/>
    <n v="138.6"/>
    <n v="126.6"/>
    <n v="133.6"/>
    <n v="118.6"/>
    <x v="104"/>
    <x v="114"/>
    <n v="169.2"/>
    <n v="108.8"/>
    <n v="133.1"/>
    <n v="126.4"/>
    <n v="139.19999999999999"/>
    <n v="136"/>
    <n v="137.19999999999999"/>
    <n v="136.30000000000001"/>
    <n v="131.6"/>
    <n v="135.6"/>
    <n v="128"/>
    <n v="129.30000000000001"/>
    <n v="126.2"/>
    <n v="116.3"/>
    <n v="124.1"/>
    <n v="130.19999999999999"/>
    <n v="119.9"/>
    <n v="123.3"/>
    <n v="131.9"/>
    <n v="136"/>
    <s v="NA"/>
    <n v="130.19999999999999"/>
    <n v="128"/>
    <n v="126.2"/>
    <n v="116.3"/>
    <n v="127.75"/>
    <n v="124.1"/>
    <n v="137.19999999999999"/>
    <n v="126.30000000000001"/>
    <n v="128.00555555555556"/>
  </r>
  <r>
    <x v="1"/>
    <x v="3"/>
    <x v="5"/>
    <n v="125.5"/>
    <n v="125.9"/>
    <n v="143.9"/>
    <n v="130.9"/>
    <n v="131"/>
    <n v="110.2"/>
    <x v="105"/>
    <x v="115"/>
    <n v="184.4"/>
    <n v="112"/>
    <n v="142.80000000000001"/>
    <n v="121.6"/>
    <n v="136.9"/>
    <n v="138.19999999999999"/>
    <n v="142.69999999999999"/>
    <n v="127.6"/>
    <n v="121.1"/>
    <n v="126.6"/>
    <n v="115.5"/>
    <n v="123.2"/>
    <n v="120.6"/>
    <n v="112.3"/>
    <n v="119.9"/>
    <n v="129.30000000000001"/>
    <n v="118.8"/>
    <n v="119.6"/>
    <n v="128.1"/>
    <n v="138.19999999999999"/>
    <n v="125.5"/>
    <n v="129.30000000000001"/>
    <n v="115.5"/>
    <n v="120.6"/>
    <n v="112.3"/>
    <n v="122.69999999999999"/>
    <n v="119.9"/>
    <n v="142.69999999999999"/>
    <n v="121.4"/>
    <n v="124.80999999999999"/>
  </r>
  <r>
    <x v="2"/>
    <x v="3"/>
    <x v="5"/>
    <n v="125.5"/>
    <n v="127.7"/>
    <n v="140.5"/>
    <n v="128.30000000000001"/>
    <n v="132.6"/>
    <n v="115.5"/>
    <x v="106"/>
    <x v="116"/>
    <n v="174.3"/>
    <n v="109.9"/>
    <n v="136.30000000000001"/>
    <n v="124.4"/>
    <n v="138.1"/>
    <n v="136.80000000000001"/>
    <n v="138.69999999999999"/>
    <n v="132.9"/>
    <n v="127.2"/>
    <n v="132"/>
    <n v="123.3"/>
    <n v="126.4"/>
    <n v="124.1"/>
    <n v="114.2"/>
    <n v="121.7"/>
    <n v="129.69999999999999"/>
    <n v="119.4"/>
    <n v="121.5"/>
    <n v="130.1"/>
    <n v="136.80000000000001"/>
    <n v="125.5"/>
    <n v="129.69999999999999"/>
    <n v="123.3"/>
    <n v="124.1"/>
    <n v="114.2"/>
    <n v="125.7"/>
    <n v="121.7"/>
    <n v="138.69999999999999"/>
    <n v="123.95"/>
    <n v="126.36500000000001"/>
  </r>
  <r>
    <x v="0"/>
    <x v="3"/>
    <x v="6"/>
    <s v="NA"/>
    <n v="129.30000000000001"/>
    <n v="139.5"/>
    <n v="129.6"/>
    <n v="134.5"/>
    <n v="119.5"/>
    <x v="107"/>
    <x v="117"/>
    <n v="171.8"/>
    <n v="110.3"/>
    <n v="134.30000000000001"/>
    <n v="127.3"/>
    <n v="139.9"/>
    <n v="137.6"/>
    <n v="138"/>
    <n v="137.19999999999999"/>
    <n v="132.19999999999999"/>
    <n v="136.5"/>
    <n v="128.19999999999999"/>
    <n v="130"/>
    <n v="126.7"/>
    <n v="116.4"/>
    <n v="125.2"/>
    <n v="130.80000000000001"/>
    <n v="120.9"/>
    <n v="123.8"/>
    <n v="133"/>
    <n v="137.6"/>
    <s v="NA"/>
    <n v="130.80000000000001"/>
    <n v="128.19999999999999"/>
    <n v="126.7"/>
    <n v="116.4"/>
    <n v="128.69999999999999"/>
    <n v="125.2"/>
    <n v="138"/>
    <n v="126.9"/>
    <n v="128.72222222222223"/>
  </r>
  <r>
    <x v="1"/>
    <x v="3"/>
    <x v="6"/>
    <n v="126.4"/>
    <n v="126.8"/>
    <n v="144.19999999999999"/>
    <n v="136.6"/>
    <n v="131.80000000000001"/>
    <n v="111"/>
    <x v="108"/>
    <x v="118"/>
    <n v="188.4"/>
    <n v="113.3"/>
    <n v="143.9"/>
    <n v="121.7"/>
    <n v="137.5"/>
    <n v="139.80000000000001"/>
    <n v="142.9"/>
    <n v="127.9"/>
    <n v="121.1"/>
    <n v="126.9"/>
    <n v="115.5"/>
    <n v="123.5"/>
    <n v="120.9"/>
    <n v="111.7"/>
    <n v="120.3"/>
    <n v="130.80000000000001"/>
    <n v="120"/>
    <n v="119.9"/>
    <n v="129"/>
    <n v="139.80000000000001"/>
    <n v="126.4"/>
    <n v="130.80000000000001"/>
    <n v="115.5"/>
    <n v="120.9"/>
    <n v="111.7"/>
    <n v="123.45"/>
    <n v="120.3"/>
    <n v="142.9"/>
    <n v="121.7"/>
    <n v="125.345"/>
  </r>
  <r>
    <x v="2"/>
    <x v="3"/>
    <x v="6"/>
    <n v="126.4"/>
    <n v="128.5"/>
    <n v="141.19999999999999"/>
    <n v="132.30000000000001"/>
    <n v="133.5"/>
    <n v="116.4"/>
    <x v="109"/>
    <x v="119"/>
    <n v="177.4"/>
    <n v="111.3"/>
    <n v="137.5"/>
    <n v="125"/>
    <n v="138.80000000000001"/>
    <n v="138.4"/>
    <n v="139.30000000000001"/>
    <n v="133.5"/>
    <n v="127.6"/>
    <n v="132.69999999999999"/>
    <n v="123.4"/>
    <n v="126.9"/>
    <n v="124.5"/>
    <n v="113.9"/>
    <n v="122.4"/>
    <n v="130.80000000000001"/>
    <n v="120.5"/>
    <n v="121.9"/>
    <n v="131.1"/>
    <n v="138.4"/>
    <n v="126.4"/>
    <n v="130.80000000000001"/>
    <n v="123.4"/>
    <n v="124.5"/>
    <n v="113.9"/>
    <n v="126.6"/>
    <n v="122.4"/>
    <n v="139.30000000000001"/>
    <n v="124.4"/>
    <n v="127.01000000000002"/>
  </r>
  <r>
    <x v="0"/>
    <x v="3"/>
    <x v="7"/>
    <s v="NA"/>
    <n v="130.1"/>
    <n v="138.80000000000001"/>
    <n v="130.30000000000001"/>
    <n v="135.30000000000001"/>
    <n v="119.9"/>
    <x v="110"/>
    <x v="120"/>
    <n v="172.2"/>
    <n v="112.1"/>
    <n v="134.9"/>
    <n v="128.1"/>
    <n v="140.69999999999999"/>
    <n v="138"/>
    <n v="138.9"/>
    <n v="137.80000000000001"/>
    <n v="133"/>
    <n v="137.1"/>
    <n v="129.1"/>
    <n v="130.6"/>
    <n v="127"/>
    <n v="116"/>
    <n v="125.5"/>
    <n v="131.9"/>
    <n v="122"/>
    <n v="124.2"/>
    <n v="133.5"/>
    <n v="138"/>
    <s v="NA"/>
    <n v="131.9"/>
    <n v="129.1"/>
    <n v="127"/>
    <n v="116"/>
    <n v="129.55000000000001"/>
    <n v="125.5"/>
    <n v="138.9"/>
    <n v="127.4"/>
    <n v="129.26111111111112"/>
  </r>
  <r>
    <x v="1"/>
    <x v="3"/>
    <x v="7"/>
    <n v="127.3"/>
    <n v="127.6"/>
    <n v="140.30000000000001"/>
    <n v="133.69999999999999"/>
    <n v="132.19999999999999"/>
    <n v="111.8"/>
    <x v="111"/>
    <x v="121"/>
    <n v="182.3"/>
    <n v="114.6"/>
    <n v="144.6"/>
    <n v="121.9"/>
    <n v="138.1"/>
    <n v="137.6"/>
    <n v="143.6"/>
    <n v="128.30000000000001"/>
    <n v="121.4"/>
    <n v="127.3"/>
    <n v="114.7"/>
    <n v="123.9"/>
    <n v="121.2"/>
    <n v="110.4"/>
    <n v="120.6"/>
    <n v="131.5"/>
    <n v="120.9"/>
    <n v="119.9"/>
    <n v="128.4"/>
    <n v="137.6"/>
    <n v="127.3"/>
    <n v="131.5"/>
    <n v="114.7"/>
    <n v="121.2"/>
    <n v="110.4"/>
    <n v="124.1"/>
    <n v="120.6"/>
    <n v="143.6"/>
    <n v="121.9"/>
    <n v="125.29"/>
  </r>
  <r>
    <x v="2"/>
    <x v="3"/>
    <x v="7"/>
    <n v="127.3"/>
    <n v="129.30000000000001"/>
    <n v="139.30000000000001"/>
    <n v="131.6"/>
    <n v="134.1"/>
    <n v="116.9"/>
    <x v="100"/>
    <x v="122"/>
    <n v="175.6"/>
    <n v="112.9"/>
    <n v="138.1"/>
    <n v="125.5"/>
    <n v="139.5"/>
    <n v="137.9"/>
    <n v="140.19999999999999"/>
    <n v="134.1"/>
    <n v="128.19999999999999"/>
    <n v="133.19999999999999"/>
    <n v="123.6"/>
    <n v="127.4"/>
    <n v="124.8"/>
    <n v="113.1"/>
    <n v="122.7"/>
    <n v="131.69999999999999"/>
    <n v="121.5"/>
    <n v="122.1"/>
    <n v="131.1"/>
    <n v="137.9"/>
    <n v="127.3"/>
    <n v="131.69999999999999"/>
    <n v="123.6"/>
    <n v="124.8"/>
    <n v="113.1"/>
    <n v="127.35"/>
    <n v="122.7"/>
    <n v="140.19999999999999"/>
    <n v="124.75"/>
    <n v="127.34"/>
  </r>
  <r>
    <x v="0"/>
    <x v="3"/>
    <x v="8"/>
    <s v="NA"/>
    <n v="130.80000000000001"/>
    <n v="138.19999999999999"/>
    <n v="130.5"/>
    <n v="135.5"/>
    <n v="120.2"/>
    <x v="112"/>
    <x v="123"/>
    <n v="170.4"/>
    <n v="113.1"/>
    <n v="135.80000000000001"/>
    <n v="128.80000000000001"/>
    <n v="141.5"/>
    <n v="137.19999999999999"/>
    <n v="139.9"/>
    <n v="138.5"/>
    <n v="133.5"/>
    <n v="137.80000000000001"/>
    <n v="129.69999999999999"/>
    <n v="131.1"/>
    <n v="127.8"/>
    <n v="117"/>
    <n v="125.7"/>
    <n v="132.19999999999999"/>
    <n v="122.8"/>
    <n v="124.9"/>
    <n v="133.4"/>
    <n v="137.19999999999999"/>
    <s v="NA"/>
    <n v="132.19999999999999"/>
    <n v="129.69999999999999"/>
    <n v="127.8"/>
    <n v="117"/>
    <n v="130.30000000000001"/>
    <n v="125.7"/>
    <n v="139.9"/>
    <n v="128"/>
    <n v="129.75555555555559"/>
  </r>
  <r>
    <x v="1"/>
    <x v="3"/>
    <x v="8"/>
    <n v="127.9"/>
    <n v="128.1"/>
    <n v="137.69999999999999"/>
    <n v="130.6"/>
    <n v="132.6"/>
    <n v="111.9"/>
    <x v="75"/>
    <x v="124"/>
    <n v="173.6"/>
    <n v="115.1"/>
    <n v="144.80000000000001"/>
    <n v="122.1"/>
    <n v="138.80000000000001"/>
    <n v="135.69999999999999"/>
    <n v="143.9"/>
    <n v="128.69999999999999"/>
    <n v="121.6"/>
    <n v="127.7"/>
    <n v="114.8"/>
    <n v="124.3"/>
    <n v="121.4"/>
    <n v="111.8"/>
    <n v="120.8"/>
    <n v="131.6"/>
    <n v="121.2"/>
    <n v="120.5"/>
    <n v="128"/>
    <n v="135.69999999999999"/>
    <n v="127.9"/>
    <n v="131.6"/>
    <n v="114.8"/>
    <n v="121.4"/>
    <n v="111.8"/>
    <n v="124.45"/>
    <n v="120.8"/>
    <n v="143.9"/>
    <n v="122.4"/>
    <n v="125.47500000000002"/>
  </r>
  <r>
    <x v="2"/>
    <x v="3"/>
    <x v="8"/>
    <n v="127.9"/>
    <n v="129.9"/>
    <n v="138"/>
    <n v="130.5"/>
    <n v="134.4"/>
    <n v="117.2"/>
    <x v="113"/>
    <x v="125"/>
    <n v="171.5"/>
    <n v="113.8"/>
    <n v="138.80000000000001"/>
    <n v="126"/>
    <n v="140.19999999999999"/>
    <n v="136.6"/>
    <n v="141"/>
    <n v="134.6"/>
    <n v="128.6"/>
    <n v="133.80000000000001"/>
    <n v="124.1"/>
    <n v="127.9"/>
    <n v="125.4"/>
    <n v="114.3"/>
    <n v="122.9"/>
    <n v="131.80000000000001"/>
    <n v="122.1"/>
    <n v="122.8"/>
    <n v="130.9"/>
    <n v="136.6"/>
    <n v="127.9"/>
    <n v="131.80000000000001"/>
    <n v="124.1"/>
    <n v="125.4"/>
    <n v="114.3"/>
    <n v="127.95"/>
    <n v="122.9"/>
    <n v="141"/>
    <n v="125.35"/>
    <n v="127.72999999999998"/>
  </r>
  <r>
    <x v="0"/>
    <x v="3"/>
    <x v="9"/>
    <s v="NA"/>
    <n v="131.30000000000001"/>
    <n v="137.6"/>
    <n v="130.1"/>
    <n v="136"/>
    <n v="120.8"/>
    <x v="114"/>
    <x v="126"/>
    <n v="170.2"/>
    <n v="113.4"/>
    <n v="136.30000000000001"/>
    <n v="128.69999999999999"/>
    <n v="142.4"/>
    <n v="137.4"/>
    <n v="140.9"/>
    <n v="139.6"/>
    <n v="134.30000000000001"/>
    <n v="138.80000000000001"/>
    <n v="129.80000000000001"/>
    <n v="131.80000000000001"/>
    <n v="128.69999999999999"/>
    <n v="117.8"/>
    <n v="126.5"/>
    <n v="133"/>
    <n v="123"/>
    <n v="125.7"/>
    <n v="133.80000000000001"/>
    <n v="137.4"/>
    <s v="NA"/>
    <n v="133"/>
    <n v="129.80000000000001"/>
    <n v="128.69999999999999"/>
    <n v="117.8"/>
    <n v="130.9"/>
    <n v="126.5"/>
    <n v="140.9"/>
    <n v="128.75"/>
    <n v="130.41666666666666"/>
  </r>
  <r>
    <x v="1"/>
    <x v="3"/>
    <x v="9"/>
    <n v="128.69999999999999"/>
    <n v="128.69999999999999"/>
    <n v="138.4"/>
    <n v="130.30000000000001"/>
    <n v="132.69999999999999"/>
    <n v="112.5"/>
    <x v="65"/>
    <x v="127"/>
    <n v="175.7"/>
    <n v="115.4"/>
    <n v="145.30000000000001"/>
    <n v="122.5"/>
    <n v="139.6"/>
    <n v="136.30000000000001"/>
    <n v="144.30000000000001"/>
    <n v="129.1"/>
    <n v="121.9"/>
    <n v="128"/>
    <n v="115.2"/>
    <n v="124.5"/>
    <n v="121.8"/>
    <n v="112.8"/>
    <n v="121.2"/>
    <n v="131.9"/>
    <n v="120.8"/>
    <n v="120.9"/>
    <n v="128.6"/>
    <n v="136.30000000000001"/>
    <n v="128.69999999999999"/>
    <n v="131.9"/>
    <n v="115.2"/>
    <n v="121.8"/>
    <n v="112.8"/>
    <n v="124.4"/>
    <n v="121.2"/>
    <n v="144.30000000000001"/>
    <n v="122.7"/>
    <n v="125.92999999999999"/>
  </r>
  <r>
    <x v="2"/>
    <x v="3"/>
    <x v="9"/>
    <n v="128.69999999999999"/>
    <n v="130.5"/>
    <n v="137.9"/>
    <n v="130.19999999999999"/>
    <n v="134.80000000000001"/>
    <n v="117.8"/>
    <x v="115"/>
    <x v="128"/>
    <n v="172.1"/>
    <n v="114.1"/>
    <n v="139.30000000000001"/>
    <n v="126.1"/>
    <n v="141.1"/>
    <n v="137"/>
    <n v="141.80000000000001"/>
    <n v="135.5"/>
    <n v="129.1"/>
    <n v="134.5"/>
    <n v="124.3"/>
    <n v="128.4"/>
    <n v="126.1"/>
    <n v="115.2"/>
    <n v="123.5"/>
    <n v="132.4"/>
    <n v="122.1"/>
    <n v="123.4"/>
    <n v="131.4"/>
    <n v="137"/>
    <n v="128.69999999999999"/>
    <n v="132.4"/>
    <n v="124.3"/>
    <n v="126.1"/>
    <n v="115.2"/>
    <n v="128.30000000000001"/>
    <n v="123.5"/>
    <n v="141.80000000000001"/>
    <n v="125.9"/>
    <n v="128.32"/>
  </r>
  <r>
    <x v="0"/>
    <x v="3"/>
    <x v="11"/>
    <s v="NA"/>
    <n v="132"/>
    <n v="137.4"/>
    <n v="130.6"/>
    <n v="136.19999999999999"/>
    <n v="121.1"/>
    <x v="116"/>
    <x v="112"/>
    <n v="170"/>
    <n v="113.4"/>
    <n v="136.80000000000001"/>
    <n v="128.69999999999999"/>
    <n v="143.1"/>
    <n v="136.6"/>
    <n v="141.19999999999999"/>
    <n v="139.9"/>
    <n v="134.5"/>
    <n v="139.19999999999999"/>
    <n v="130.30000000000001"/>
    <n v="132.1"/>
    <n v="129.1"/>
    <n v="118.2"/>
    <n v="126.9"/>
    <n v="133.69999999999999"/>
    <n v="123.5"/>
    <n v="126.1"/>
    <n v="133.6"/>
    <n v="136.6"/>
    <s v="NA"/>
    <n v="133.69999999999999"/>
    <n v="130.30000000000001"/>
    <n v="129.1"/>
    <n v="118.2"/>
    <n v="131.35"/>
    <n v="126.9"/>
    <n v="141.19999999999999"/>
    <n v="129.1"/>
    <n v="130.71666666666664"/>
  </r>
  <r>
    <x v="1"/>
    <x v="3"/>
    <x v="11"/>
    <n v="129.1"/>
    <n v="130.19999999999999"/>
    <n v="138.5"/>
    <n v="134.1"/>
    <n v="132.9"/>
    <n v="112.6"/>
    <x v="77"/>
    <x v="129"/>
    <n v="174.9"/>
    <n v="115.6"/>
    <n v="145.4"/>
    <n v="122.7"/>
    <n v="140.30000000000001"/>
    <n v="135.19999999999999"/>
    <n v="144.30000000000001"/>
    <n v="129.6"/>
    <n v="122.1"/>
    <n v="128.5"/>
    <n v="116.2"/>
    <n v="124.7"/>
    <n v="122.1"/>
    <n v="113.4"/>
    <n v="121.7"/>
    <n v="132.1"/>
    <n v="121.3"/>
    <n v="121.3"/>
    <n v="128.5"/>
    <n v="135.19999999999999"/>
    <n v="129.1"/>
    <n v="132.1"/>
    <n v="116.2"/>
    <n v="122.1"/>
    <n v="113.4"/>
    <n v="124.9"/>
    <n v="121.7"/>
    <n v="144.30000000000001"/>
    <n v="123"/>
    <n v="126.2"/>
  </r>
  <r>
    <x v="2"/>
    <x v="3"/>
    <x v="11"/>
    <n v="129.1"/>
    <n v="131.4"/>
    <n v="137.80000000000001"/>
    <n v="132"/>
    <n v="135"/>
    <n v="118"/>
    <x v="76"/>
    <x v="130"/>
    <n v="171.7"/>
    <n v="114.1"/>
    <n v="139.69999999999999"/>
    <n v="126.2"/>
    <n v="141.80000000000001"/>
    <n v="136.1"/>
    <n v="142"/>
    <n v="135.80000000000001"/>
    <n v="129.30000000000001"/>
    <n v="135"/>
    <n v="125"/>
    <n v="128.6"/>
    <n v="126.4"/>
    <n v="115.7"/>
    <n v="124"/>
    <n v="132.80000000000001"/>
    <n v="122.6"/>
    <n v="123.8"/>
    <n v="131.19999999999999"/>
    <n v="136.1"/>
    <n v="129.1"/>
    <n v="132.80000000000001"/>
    <n v="125"/>
    <n v="126.4"/>
    <n v="115.7"/>
    <n v="128.80000000000001"/>
    <n v="124"/>
    <n v="142"/>
    <n v="126.19999999999999"/>
    <n v="128.61000000000001"/>
  </r>
  <r>
    <x v="0"/>
    <x v="3"/>
    <x v="12"/>
    <s v="NA"/>
    <n v="132.6"/>
    <n v="137.30000000000001"/>
    <n v="131.6"/>
    <n v="136.30000000000001"/>
    <n v="121.6"/>
    <x v="117"/>
    <x v="77"/>
    <n v="167.9"/>
    <n v="113.8"/>
    <n v="137.5"/>
    <n v="129.1"/>
    <n v="143.6"/>
    <n v="134.69999999999999"/>
    <n v="142.4"/>
    <n v="140.4"/>
    <n v="135.19999999999999"/>
    <n v="139.69999999999999"/>
    <n v="132"/>
    <n v="132.9"/>
    <n v="129.69999999999999"/>
    <n v="118.6"/>
    <n v="127.3"/>
    <n v="134.19999999999999"/>
    <n v="121.9"/>
    <n v="126.3"/>
    <n v="132.80000000000001"/>
    <n v="134.69999999999999"/>
    <s v="NA"/>
    <n v="134.19999999999999"/>
    <n v="132"/>
    <n v="129.69999999999999"/>
    <n v="118.6"/>
    <n v="130.80000000000001"/>
    <n v="127.3"/>
    <n v="142.4"/>
    <n v="129.6"/>
    <n v="131.03333333333333"/>
  </r>
  <r>
    <x v="1"/>
    <x v="3"/>
    <x v="12"/>
    <n v="128.5"/>
    <n v="131.6"/>
    <n v="138.19999999999999"/>
    <n v="134.9"/>
    <n v="133.1"/>
    <n v="113.5"/>
    <x v="118"/>
    <x v="131"/>
    <n v="170.3"/>
    <n v="115.5"/>
    <n v="145.5"/>
    <n v="123.1"/>
    <n v="140.9"/>
    <n v="132.80000000000001"/>
    <n v="145"/>
    <n v="130"/>
    <n v="122.2"/>
    <n v="128.80000000000001"/>
    <n v="117.8"/>
    <n v="125"/>
    <n v="122.3"/>
    <n v="113.7"/>
    <n v="121.8"/>
    <n v="132.30000000000001"/>
    <n v="119.9"/>
    <n v="121.4"/>
    <n v="127.6"/>
    <n v="132.80000000000001"/>
    <n v="128.5"/>
    <n v="132.30000000000001"/>
    <n v="117.8"/>
    <n v="122.3"/>
    <n v="113.7"/>
    <n v="124.35000000000001"/>
    <n v="121.8"/>
    <n v="145"/>
    <n v="123.2"/>
    <n v="126.17500000000003"/>
  </r>
  <r>
    <x v="2"/>
    <x v="3"/>
    <x v="12"/>
    <n v="128.5"/>
    <n v="132.30000000000001"/>
    <n v="137.6"/>
    <n v="132.9"/>
    <n v="135.1"/>
    <n v="118.6"/>
    <x v="52"/>
    <x v="132"/>
    <n v="168.7"/>
    <n v="114.4"/>
    <n v="140.19999999999999"/>
    <n v="126.6"/>
    <n v="142.30000000000001"/>
    <n v="134"/>
    <n v="143.1"/>
    <n v="136.30000000000001"/>
    <n v="129.80000000000001"/>
    <n v="135.4"/>
    <n v="126.6"/>
    <n v="129.19999999999999"/>
    <n v="126.9"/>
    <n v="116"/>
    <n v="124.2"/>
    <n v="133.1"/>
    <n v="121.1"/>
    <n v="123.9"/>
    <n v="130.4"/>
    <n v="134"/>
    <n v="128.5"/>
    <n v="133.1"/>
    <n v="126.6"/>
    <n v="126.9"/>
    <n v="116"/>
    <n v="128.25"/>
    <n v="124.2"/>
    <n v="143.1"/>
    <n v="126.55"/>
    <n v="128.72"/>
  </r>
  <r>
    <x v="0"/>
    <x v="4"/>
    <x v="0"/>
    <s v="NA"/>
    <n v="133.1"/>
    <n v="137.80000000000001"/>
    <n v="131.9"/>
    <n v="136.69999999999999"/>
    <n v="122"/>
    <x v="103"/>
    <x v="133"/>
    <n v="161.69999999999999"/>
    <n v="114.8"/>
    <n v="136.9"/>
    <n v="129"/>
    <n v="143.9"/>
    <n v="133.69999999999999"/>
    <n v="143.1"/>
    <n v="140.69999999999999"/>
    <n v="135.80000000000001"/>
    <n v="140"/>
    <n v="132.1"/>
    <n v="133.19999999999999"/>
    <n v="129.9"/>
    <n v="119.1"/>
    <n v="127"/>
    <n v="134.6"/>
    <n v="122.3"/>
    <n v="126.6"/>
    <n v="132.4"/>
    <n v="133.69999999999999"/>
    <s v="NA"/>
    <n v="134.6"/>
    <n v="132.1"/>
    <n v="129.9"/>
    <n v="119.1"/>
    <n v="131.15"/>
    <n v="127"/>
    <n v="143.1"/>
    <n v="129.89999999999998"/>
    <n v="131.17222222222219"/>
  </r>
  <r>
    <x v="1"/>
    <x v="4"/>
    <x v="0"/>
    <n v="129.6"/>
    <n v="132.19999999999999"/>
    <n v="138.9"/>
    <n v="132.6"/>
    <n v="133.1"/>
    <n v="114"/>
    <x v="119"/>
    <x v="134"/>
    <n v="155.1"/>
    <n v="117.3"/>
    <n v="144.9"/>
    <n v="123.2"/>
    <n v="141.6"/>
    <n v="132"/>
    <n v="145.6"/>
    <n v="130.19999999999999"/>
    <n v="122.3"/>
    <n v="129"/>
    <n v="118"/>
    <n v="125.1"/>
    <n v="122.6"/>
    <n v="115.2"/>
    <n v="122"/>
    <n v="132.4"/>
    <n v="120.9"/>
    <n v="122.1"/>
    <n v="127.8"/>
    <n v="132"/>
    <n v="129.6"/>
    <n v="132.4"/>
    <n v="118"/>
    <n v="122.6"/>
    <n v="115.2"/>
    <n v="124.95"/>
    <n v="122"/>
    <n v="145.6"/>
    <n v="123.6"/>
    <n v="126.595"/>
  </r>
  <r>
    <x v="2"/>
    <x v="4"/>
    <x v="0"/>
    <n v="129.6"/>
    <n v="132.80000000000001"/>
    <n v="138.19999999999999"/>
    <n v="132.19999999999999"/>
    <n v="135.4"/>
    <n v="119.1"/>
    <x v="120"/>
    <x v="135"/>
    <n v="159.5"/>
    <n v="115.6"/>
    <n v="139.6"/>
    <n v="126.6"/>
    <n v="142.80000000000001"/>
    <n v="133.1"/>
    <n v="143.80000000000001"/>
    <n v="136.6"/>
    <n v="130.19999999999999"/>
    <n v="135.6"/>
    <n v="126.8"/>
    <n v="129.4"/>
    <n v="127.1"/>
    <n v="117"/>
    <n v="124.2"/>
    <n v="133.30000000000001"/>
    <n v="121.7"/>
    <n v="124.4"/>
    <n v="130.30000000000001"/>
    <n v="133.1"/>
    <n v="129.6"/>
    <n v="133.30000000000001"/>
    <n v="126.8"/>
    <n v="127.1"/>
    <n v="117"/>
    <n v="128.65"/>
    <n v="124.2"/>
    <n v="143.80000000000001"/>
    <n v="126.9"/>
    <n v="129.04500000000002"/>
  </r>
  <r>
    <x v="0"/>
    <x v="4"/>
    <x v="1"/>
    <s v="NA"/>
    <n v="133.30000000000001"/>
    <n v="138.30000000000001"/>
    <n v="129.30000000000001"/>
    <n v="137.19999999999999"/>
    <n v="122.1"/>
    <x v="121"/>
    <x v="136"/>
    <n v="156.9"/>
    <n v="116.2"/>
    <n v="136"/>
    <n v="129.4"/>
    <n v="144.4"/>
    <n v="133.6"/>
    <n v="143.69999999999999"/>
    <n v="140.9"/>
    <n v="135.80000000000001"/>
    <n v="140.19999999999999"/>
    <n v="133.19999999999999"/>
    <n v="133.6"/>
    <n v="130.1"/>
    <n v="119.5"/>
    <n v="127.7"/>
    <n v="134.9"/>
    <n v="123.2"/>
    <n v="127"/>
    <n v="132.6"/>
    <n v="133.6"/>
    <s v="NA"/>
    <n v="134.9"/>
    <n v="133.19999999999999"/>
    <n v="130.1"/>
    <n v="119.5"/>
    <n v="131.69999999999999"/>
    <n v="127.7"/>
    <n v="143.69999999999999"/>
    <n v="130.30000000000001"/>
    <n v="131.63333333333333"/>
  </r>
  <r>
    <x v="1"/>
    <x v="4"/>
    <x v="1"/>
    <n v="130.5"/>
    <n v="132.80000000000001"/>
    <n v="139.80000000000001"/>
    <n v="129.30000000000001"/>
    <n v="133.5"/>
    <n v="114.3"/>
    <x v="122"/>
    <x v="137"/>
    <n v="143.1"/>
    <n v="119.5"/>
    <n v="144"/>
    <n v="123.4"/>
    <n v="141.9"/>
    <n v="132.1"/>
    <n v="146.30000000000001"/>
    <n v="130.5"/>
    <n v="122.5"/>
    <n v="129.30000000000001"/>
    <n v="119.2"/>
    <n v="125.3"/>
    <n v="122.9"/>
    <n v="115.5"/>
    <n v="122.2"/>
    <n v="132.4"/>
    <n v="121.7"/>
    <n v="122.4"/>
    <n v="128.19999999999999"/>
    <n v="132.1"/>
    <n v="130.5"/>
    <n v="132.4"/>
    <n v="119.2"/>
    <n v="122.9"/>
    <n v="115.5"/>
    <n v="125.5"/>
    <n v="122.2"/>
    <n v="146.30000000000001"/>
    <n v="123.85"/>
    <n v="127.045"/>
  </r>
  <r>
    <x v="2"/>
    <x v="4"/>
    <x v="1"/>
    <n v="130.5"/>
    <n v="133.1"/>
    <n v="138.80000000000001"/>
    <n v="129.30000000000001"/>
    <n v="135.80000000000001"/>
    <n v="119.2"/>
    <x v="123"/>
    <x v="138"/>
    <n v="152.19999999999999"/>
    <n v="117.3"/>
    <n v="138.69999999999999"/>
    <n v="126.9"/>
    <n v="143.19999999999999"/>
    <n v="133"/>
    <n v="144.4"/>
    <n v="136.80000000000001"/>
    <n v="130.30000000000001"/>
    <n v="135.9"/>
    <n v="127.9"/>
    <n v="129.69999999999999"/>
    <n v="127.4"/>
    <n v="117.4"/>
    <n v="124.6"/>
    <n v="133.4"/>
    <n v="122.6"/>
    <n v="124.8"/>
    <n v="130.6"/>
    <n v="133"/>
    <n v="130.5"/>
    <n v="133.4"/>
    <n v="127.9"/>
    <n v="127.4"/>
    <n v="117.4"/>
    <n v="129.25"/>
    <n v="124.6"/>
    <n v="144.4"/>
    <n v="127.25"/>
    <n v="129.51"/>
  </r>
  <r>
    <x v="0"/>
    <x v="4"/>
    <x v="2"/>
    <s v="NA"/>
    <n v="133.6"/>
    <n v="138.80000000000001"/>
    <n v="128.80000000000001"/>
    <n v="137.19999999999999"/>
    <n v="121.6"/>
    <x v="124"/>
    <x v="139"/>
    <n v="148"/>
    <n v="116.9"/>
    <n v="135.6"/>
    <n v="129.80000000000001"/>
    <n v="145.4"/>
    <n v="133.4"/>
    <n v="144.19999999999999"/>
    <n v="141.6"/>
    <n v="136.19999999999999"/>
    <n v="140.80000000000001"/>
    <n v="134.19999999999999"/>
    <n v="134.1"/>
    <n v="130.6"/>
    <n v="119.8"/>
    <n v="128.30000000000001"/>
    <n v="135.19999999999999"/>
    <n v="123.3"/>
    <n v="127.4"/>
    <n v="132.80000000000001"/>
    <n v="133.4"/>
    <s v="NA"/>
    <n v="135.19999999999999"/>
    <n v="134.19999999999999"/>
    <n v="130.6"/>
    <n v="119.8"/>
    <n v="132.05000000000001"/>
    <n v="128.30000000000001"/>
    <n v="144.19999999999999"/>
    <n v="130.75"/>
    <n v="132.05555555555554"/>
  </r>
  <r>
    <x v="1"/>
    <x v="4"/>
    <x v="2"/>
    <n v="131.1"/>
    <n v="132.69999999999999"/>
    <n v="139.4"/>
    <n v="128.4"/>
    <n v="134.9"/>
    <n v="114"/>
    <x v="125"/>
    <x v="36"/>
    <n v="135.80000000000001"/>
    <n v="120.3"/>
    <n v="142.6"/>
    <n v="123.6"/>
    <n v="142.4"/>
    <n v="132.6"/>
    <n v="147.5"/>
    <n v="130.80000000000001"/>
    <n v="122.8"/>
    <n v="129.6"/>
    <n v="120.8"/>
    <n v="125.6"/>
    <n v="123.1"/>
    <n v="115.6"/>
    <n v="122.4"/>
    <n v="132.80000000000001"/>
    <n v="121.7"/>
    <n v="122.6"/>
    <n v="128.69999999999999"/>
    <n v="132.6"/>
    <n v="131.1"/>
    <n v="132.80000000000001"/>
    <n v="120.8"/>
    <n v="123.1"/>
    <n v="115.6"/>
    <n v="125.65"/>
    <n v="122.4"/>
    <n v="147.5"/>
    <n v="124.1"/>
    <n v="127.56499999999998"/>
  </r>
  <r>
    <x v="2"/>
    <x v="4"/>
    <x v="2"/>
    <n v="131.1"/>
    <n v="133.30000000000001"/>
    <n v="139"/>
    <n v="128.6"/>
    <n v="136.30000000000001"/>
    <n v="118.8"/>
    <x v="126"/>
    <x v="43"/>
    <n v="143.9"/>
    <n v="118"/>
    <n v="137.9"/>
    <n v="127.2"/>
    <n v="144"/>
    <n v="133.1"/>
    <n v="145.1"/>
    <n v="137.30000000000001"/>
    <n v="130.6"/>
    <n v="136.4"/>
    <n v="129.1"/>
    <n v="130.1"/>
    <n v="127.8"/>
    <n v="117.6"/>
    <n v="125"/>
    <n v="133.80000000000001"/>
    <n v="122.6"/>
    <n v="125.1"/>
    <n v="130.9"/>
    <n v="133.1"/>
    <n v="131.1"/>
    <n v="133.80000000000001"/>
    <n v="129.1"/>
    <n v="127.8"/>
    <n v="117.6"/>
    <n v="129.5"/>
    <n v="125"/>
    <n v="145.1"/>
    <n v="127.6"/>
    <n v="129.96999999999997"/>
  </r>
  <r>
    <x v="0"/>
    <x v="4"/>
    <x v="3"/>
    <s v="NA"/>
    <n v="133.19999999999999"/>
    <n v="138.69999999999999"/>
    <n v="127.1"/>
    <n v="137.69999999999999"/>
    <n v="121.3"/>
    <x v="127"/>
    <x v="140"/>
    <n v="144.5"/>
    <n v="117.4"/>
    <n v="134.1"/>
    <n v="130"/>
    <n v="145.5"/>
    <n v="133.5"/>
    <n v="144.4"/>
    <n v="142.4"/>
    <n v="136.80000000000001"/>
    <n v="141.6"/>
    <n v="135"/>
    <n v="134.30000000000001"/>
    <n v="131"/>
    <n v="119.2"/>
    <n v="128.30000000000001"/>
    <n v="135.69999999999999"/>
    <n v="123.7"/>
    <n v="127.5"/>
    <n v="132.9"/>
    <n v="133.5"/>
    <s v="NA"/>
    <n v="135.69999999999999"/>
    <n v="135"/>
    <n v="131"/>
    <n v="119.2"/>
    <n v="132.65"/>
    <n v="128.30000000000001"/>
    <n v="144.4"/>
    <n v="130.9"/>
    <n v="132.29444444444448"/>
  </r>
  <r>
    <x v="1"/>
    <x v="4"/>
    <x v="3"/>
    <n v="131.69999999999999"/>
    <n v="132.69999999999999"/>
    <n v="140.6"/>
    <n v="124.5"/>
    <n v="136.30000000000001"/>
    <n v="113.5"/>
    <x v="128"/>
    <x v="141"/>
    <n v="133.80000000000001"/>
    <n v="120.8"/>
    <n v="141.30000000000001"/>
    <n v="123.8"/>
    <n v="142.6"/>
    <n v="133.4"/>
    <n v="148"/>
    <n v="131.19999999999999"/>
    <n v="123"/>
    <n v="130"/>
    <n v="121.4"/>
    <n v="126"/>
    <n v="123.4"/>
    <n v="114.3"/>
    <n v="122.6"/>
    <n v="133.6"/>
    <n v="122.2"/>
    <n v="122.5"/>
    <n v="129.1"/>
    <n v="133.4"/>
    <n v="131.69999999999999"/>
    <n v="133.6"/>
    <n v="121.4"/>
    <n v="123.4"/>
    <n v="114.3"/>
    <n v="126.1"/>
    <n v="122.6"/>
    <n v="148"/>
    <n v="124.25"/>
    <n v="127.875"/>
  </r>
  <r>
    <x v="2"/>
    <x v="4"/>
    <x v="3"/>
    <n v="131.69999999999999"/>
    <n v="133"/>
    <n v="139.4"/>
    <n v="126.1"/>
    <n v="137.19999999999999"/>
    <n v="118.4"/>
    <x v="129"/>
    <x v="142"/>
    <n v="140.9"/>
    <n v="118.5"/>
    <n v="136.5"/>
    <n v="127.4"/>
    <n v="144.19999999999999"/>
    <n v="133.5"/>
    <n v="145.4"/>
    <n v="138"/>
    <n v="131.1"/>
    <n v="137"/>
    <n v="129.80000000000001"/>
    <n v="130.4"/>
    <n v="128.1"/>
    <n v="116.6"/>
    <n v="125.1"/>
    <n v="134.5"/>
    <n v="123.1"/>
    <n v="125.1"/>
    <n v="131.1"/>
    <n v="133.5"/>
    <n v="131.69999999999999"/>
    <n v="134.5"/>
    <n v="129.80000000000001"/>
    <n v="128.1"/>
    <n v="116.6"/>
    <n v="130.05000000000001"/>
    <n v="125.1"/>
    <n v="145.4"/>
    <n v="127.75"/>
    <n v="130.25"/>
  </r>
  <r>
    <x v="0"/>
    <x v="4"/>
    <x v="4"/>
    <s v="NA"/>
    <n v="133.1"/>
    <n v="140.30000000000001"/>
    <n v="126.8"/>
    <n v="138.19999999999999"/>
    <n v="120.8"/>
    <x v="110"/>
    <x v="143"/>
    <n v="141.80000000000001"/>
    <n v="118.6"/>
    <n v="134"/>
    <n v="130.30000000000001"/>
    <n v="145.80000000000001"/>
    <n v="133.80000000000001"/>
    <n v="145.5"/>
    <n v="142.5"/>
    <n v="137.30000000000001"/>
    <n v="141.80000000000001"/>
    <n v="135"/>
    <n v="134.9"/>
    <n v="131.4"/>
    <n v="119.4"/>
    <n v="129.4"/>
    <n v="136.30000000000001"/>
    <n v="123.7"/>
    <n v="127.9"/>
    <n v="133.30000000000001"/>
    <n v="133.80000000000001"/>
    <s v="NA"/>
    <n v="136.30000000000001"/>
    <n v="135"/>
    <n v="131.4"/>
    <n v="119.4"/>
    <n v="132.75"/>
    <n v="129.4"/>
    <n v="145.5"/>
    <n v="131.4"/>
    <n v="132.77222222222224"/>
  </r>
  <r>
    <x v="1"/>
    <x v="4"/>
    <x v="4"/>
    <n v="132.1"/>
    <n v="132.6"/>
    <n v="144.1"/>
    <n v="125.6"/>
    <n v="136.80000000000001"/>
    <n v="113.4"/>
    <x v="130"/>
    <x v="17"/>
    <n v="131.5"/>
    <n v="121"/>
    <n v="139.9"/>
    <n v="123.8"/>
    <n v="142.9"/>
    <n v="133.6"/>
    <n v="148.30000000000001"/>
    <n v="131.5"/>
    <n v="123.2"/>
    <n v="130.19999999999999"/>
    <n v="120.1"/>
    <n v="126.5"/>
    <n v="123.6"/>
    <n v="114.3"/>
    <n v="122.8"/>
    <n v="133.80000000000001"/>
    <n v="122"/>
    <n v="122.6"/>
    <n v="129.30000000000001"/>
    <n v="133.6"/>
    <n v="132.1"/>
    <n v="133.80000000000001"/>
    <n v="120.1"/>
    <n v="123.6"/>
    <n v="114.3"/>
    <n v="126.1"/>
    <n v="122.8"/>
    <n v="148.30000000000001"/>
    <n v="124.55"/>
    <n v="127.925"/>
  </r>
  <r>
    <x v="2"/>
    <x v="4"/>
    <x v="4"/>
    <n v="132.1"/>
    <n v="132.9"/>
    <n v="141.6"/>
    <n v="126.3"/>
    <n v="137.69999999999999"/>
    <n v="118.1"/>
    <x v="131"/>
    <x v="144"/>
    <n v="138.30000000000001"/>
    <n v="119.4"/>
    <n v="136"/>
    <n v="127.6"/>
    <n v="144.5"/>
    <n v="133.69999999999999"/>
    <n v="146.19999999999999"/>
    <n v="138.19999999999999"/>
    <n v="131.4"/>
    <n v="137.19999999999999"/>
    <n v="129.4"/>
    <n v="130.9"/>
    <n v="128.4"/>
    <n v="116.7"/>
    <n v="125.7"/>
    <n v="134.80000000000001"/>
    <n v="123"/>
    <n v="125.3"/>
    <n v="131.4"/>
    <n v="133.69999999999999"/>
    <n v="132.1"/>
    <n v="134.80000000000001"/>
    <n v="129.4"/>
    <n v="128.4"/>
    <n v="116.7"/>
    <n v="130.1"/>
    <n v="125.7"/>
    <n v="146.19999999999999"/>
    <n v="128.1"/>
    <n v="130.52000000000001"/>
  </r>
  <r>
    <x v="0"/>
    <x v="4"/>
    <x v="5"/>
    <s v="NA"/>
    <n v="133.5"/>
    <n v="143.69999999999999"/>
    <n v="128"/>
    <n v="138.6"/>
    <n v="120.9"/>
    <x v="132"/>
    <x v="145"/>
    <n v="140.19999999999999"/>
    <n v="118.9"/>
    <n v="133.5"/>
    <n v="130.4"/>
    <n v="146.5"/>
    <n v="134.9"/>
    <n v="145.80000000000001"/>
    <n v="143.1"/>
    <n v="137.69999999999999"/>
    <n v="142.30000000000001"/>
    <n v="134.80000000000001"/>
    <n v="135.19999999999999"/>
    <n v="131.30000000000001"/>
    <n v="119.4"/>
    <n v="129.80000000000001"/>
    <n v="136.9"/>
    <n v="124.1"/>
    <n v="128.1"/>
    <n v="133.9"/>
    <n v="134.9"/>
    <s v="NA"/>
    <n v="136.9"/>
    <n v="134.80000000000001"/>
    <n v="131.30000000000001"/>
    <n v="119.4"/>
    <n v="133.19999999999999"/>
    <n v="129.80000000000001"/>
    <n v="145.80000000000001"/>
    <n v="131.64999999999998"/>
    <n v="133.08333333333334"/>
  </r>
  <r>
    <x v="1"/>
    <x v="4"/>
    <x v="5"/>
    <n v="131.4"/>
    <n v="132.9"/>
    <n v="148.69999999999999"/>
    <n v="128.30000000000001"/>
    <n v="137.30000000000001"/>
    <n v="113.5"/>
    <x v="133"/>
    <x v="146"/>
    <n v="128.19999999999999"/>
    <n v="120.9"/>
    <n v="138.80000000000001"/>
    <n v="124.2"/>
    <n v="143.1"/>
    <n v="135.69999999999999"/>
    <n v="148.6"/>
    <n v="131.5"/>
    <n v="123.2"/>
    <n v="130.19999999999999"/>
    <n v="119"/>
    <n v="126.8"/>
    <n v="123.8"/>
    <n v="113.9"/>
    <n v="122.9"/>
    <n v="134.30000000000001"/>
    <n v="122.5"/>
    <n v="122.7"/>
    <n v="129.9"/>
    <n v="135.69999999999999"/>
    <n v="131.4"/>
    <n v="134.30000000000001"/>
    <n v="119"/>
    <n v="123.8"/>
    <n v="113.9"/>
    <n v="126.35"/>
    <n v="122.9"/>
    <n v="148.6"/>
    <n v="124.75"/>
    <n v="128.07"/>
  </r>
  <r>
    <x v="2"/>
    <x v="4"/>
    <x v="5"/>
    <n v="131.4"/>
    <n v="133.30000000000001"/>
    <n v="145.5"/>
    <n v="128.1"/>
    <n v="138.1"/>
    <n v="118.2"/>
    <x v="112"/>
    <x v="147"/>
    <n v="136.19999999999999"/>
    <n v="119.6"/>
    <n v="135.30000000000001"/>
    <n v="127.8"/>
    <n v="144.9"/>
    <n v="135.19999999999999"/>
    <n v="146.5"/>
    <n v="138.5"/>
    <n v="131.69999999999999"/>
    <n v="137.5"/>
    <n v="128.80000000000001"/>
    <n v="131.19999999999999"/>
    <n v="128.5"/>
    <n v="116.5"/>
    <n v="125.9"/>
    <n v="135.4"/>
    <n v="123.4"/>
    <n v="125.5"/>
    <n v="132"/>
    <n v="135.19999999999999"/>
    <n v="131.4"/>
    <n v="135.4"/>
    <n v="128.80000000000001"/>
    <n v="128.5"/>
    <n v="116.5"/>
    <n v="130.44999999999999"/>
    <n v="125.9"/>
    <n v="146.5"/>
    <n v="128.35"/>
    <n v="130.69999999999999"/>
  </r>
  <r>
    <x v="0"/>
    <x v="4"/>
    <x v="6"/>
    <s v="NA"/>
    <n v="134"/>
    <n v="144.19999999999999"/>
    <n v="129.80000000000001"/>
    <n v="139"/>
    <n v="120.9"/>
    <x v="134"/>
    <x v="148"/>
    <n v="138.1"/>
    <n v="120"/>
    <n v="133.9"/>
    <n v="131.4"/>
    <n v="147.69999999999999"/>
    <n v="138.5"/>
    <n v="147.4"/>
    <n v="144.30000000000001"/>
    <n v="138.1"/>
    <n v="143.5"/>
    <n v="135.30000000000001"/>
    <n v="136.1"/>
    <n v="132.1"/>
    <n v="119.1"/>
    <n v="130.6"/>
    <n v="138.6"/>
    <n v="124.4"/>
    <n v="128.6"/>
    <n v="136.19999999999999"/>
    <n v="138.5"/>
    <s v="NA"/>
    <n v="138.6"/>
    <n v="135.30000000000001"/>
    <n v="132.1"/>
    <n v="119.1"/>
    <n v="133.94999999999999"/>
    <n v="130.6"/>
    <n v="147.4"/>
    <n v="132.35"/>
    <n v="134.21111111111111"/>
  </r>
  <r>
    <x v="1"/>
    <x v="4"/>
    <x v="6"/>
    <n v="132.6"/>
    <n v="132.80000000000001"/>
    <n v="148.4"/>
    <n v="129.4"/>
    <n v="137.69999999999999"/>
    <n v="113.4"/>
    <x v="135"/>
    <x v="149"/>
    <n v="124.7"/>
    <n v="121.5"/>
    <n v="137.80000000000001"/>
    <n v="124.4"/>
    <n v="143.69999999999999"/>
    <n v="139.80000000000001"/>
    <n v="150.5"/>
    <n v="131.6"/>
    <n v="123.7"/>
    <n v="130.4"/>
    <n v="119.7"/>
    <n v="127.2"/>
    <n v="125"/>
    <n v="113.2"/>
    <n v="123.5"/>
    <n v="135.5"/>
    <n v="122.4"/>
    <n v="123"/>
    <n v="131.80000000000001"/>
    <n v="139.80000000000001"/>
    <n v="132.6"/>
    <n v="135.5"/>
    <n v="119.7"/>
    <n v="125"/>
    <n v="113.2"/>
    <n v="126.4"/>
    <n v="123.5"/>
    <n v="150.5"/>
    <n v="125.1"/>
    <n v="129.13"/>
  </r>
  <r>
    <x v="2"/>
    <x v="4"/>
    <x v="6"/>
    <n v="132.6"/>
    <n v="133.6"/>
    <n v="145.69999999999999"/>
    <n v="129.6"/>
    <n v="138.5"/>
    <n v="118.1"/>
    <x v="127"/>
    <x v="150"/>
    <n v="133.6"/>
    <n v="120.5"/>
    <n v="135.19999999999999"/>
    <n v="128.5"/>
    <n v="145.80000000000001"/>
    <n v="139"/>
    <n v="148.19999999999999"/>
    <n v="139.30000000000001"/>
    <n v="132.1"/>
    <n v="138.30000000000001"/>
    <n v="129.4"/>
    <n v="131.9"/>
    <n v="129.4"/>
    <n v="116"/>
    <n v="126.6"/>
    <n v="136.80000000000001"/>
    <n v="123.6"/>
    <n v="125.9"/>
    <n v="134.19999999999999"/>
    <n v="139"/>
    <n v="132.6"/>
    <n v="136.80000000000001"/>
    <n v="129.4"/>
    <n v="129.4"/>
    <n v="116"/>
    <n v="130.94999999999999"/>
    <n v="126.6"/>
    <n v="148.19999999999999"/>
    <n v="128.9"/>
    <n v="131.78500000000003"/>
  </r>
  <r>
    <x v="0"/>
    <x v="4"/>
    <x v="7"/>
    <s v="NA"/>
    <n v="134.80000000000001"/>
    <n v="143.1"/>
    <n v="130"/>
    <n v="139.4"/>
    <n v="120.5"/>
    <x v="136"/>
    <x v="151"/>
    <n v="137.4"/>
    <n v="120.8"/>
    <n v="134.69999999999999"/>
    <n v="131.6"/>
    <n v="148.69999999999999"/>
    <n v="140.6"/>
    <n v="149"/>
    <n v="145.30000000000001"/>
    <n v="139.19999999999999"/>
    <n v="144.5"/>
    <n v="136.4"/>
    <n v="137.30000000000001"/>
    <n v="133"/>
    <n v="120.3"/>
    <n v="131.5"/>
    <n v="140.19999999999999"/>
    <n v="125.4"/>
    <n v="129.69999999999999"/>
    <n v="137.80000000000001"/>
    <n v="140.6"/>
    <s v="NA"/>
    <n v="140.19999999999999"/>
    <n v="136.4"/>
    <n v="133"/>
    <n v="120.3"/>
    <n v="134.94999999999999"/>
    <n v="131.5"/>
    <n v="149"/>
    <n v="133.5"/>
    <n v="135.49444444444441"/>
  </r>
  <r>
    <x v="1"/>
    <x v="4"/>
    <x v="7"/>
    <n v="134.4"/>
    <n v="133.19999999999999"/>
    <n v="143.9"/>
    <n v="128.30000000000001"/>
    <n v="138.30000000000001"/>
    <n v="114.1"/>
    <x v="137"/>
    <x v="152"/>
    <n v="123.5"/>
    <n v="122.1"/>
    <n v="137.5"/>
    <n v="124.6"/>
    <n v="144.5"/>
    <n v="140.5"/>
    <n v="152.1"/>
    <n v="132.69999999999999"/>
    <n v="124.3"/>
    <n v="131.4"/>
    <n v="118.9"/>
    <n v="127.7"/>
    <n v="125.7"/>
    <n v="114.6"/>
    <n v="124.1"/>
    <n v="135.69999999999999"/>
    <n v="123.3"/>
    <n v="123.8"/>
    <n v="132.69999999999999"/>
    <n v="140.5"/>
    <n v="134.4"/>
    <n v="135.69999999999999"/>
    <n v="118.9"/>
    <n v="125.7"/>
    <n v="114.6"/>
    <n v="127.35"/>
    <n v="124.1"/>
    <n v="152.1"/>
    <n v="125.75"/>
    <n v="129.91000000000003"/>
  </r>
  <r>
    <x v="2"/>
    <x v="4"/>
    <x v="7"/>
    <n v="134.4"/>
    <n v="134.30000000000001"/>
    <n v="143.4"/>
    <n v="129.30000000000001"/>
    <n v="139"/>
    <n v="118.1"/>
    <x v="138"/>
    <x v="58"/>
    <n v="132.69999999999999"/>
    <n v="121.2"/>
    <n v="135.6"/>
    <n v="128.69999999999999"/>
    <n v="146.80000000000001"/>
    <n v="140.6"/>
    <n v="149.80000000000001"/>
    <n v="140.30000000000001"/>
    <n v="133"/>
    <n v="139.30000000000001"/>
    <n v="129.80000000000001"/>
    <n v="132.80000000000001"/>
    <n v="130.19999999999999"/>
    <n v="117.3"/>
    <n v="127.3"/>
    <n v="137.6"/>
    <n v="124.5"/>
    <n v="126.8"/>
    <n v="135.4"/>
    <n v="140.6"/>
    <n v="134.4"/>
    <n v="137.6"/>
    <n v="129.80000000000001"/>
    <n v="130.19999999999999"/>
    <n v="117.3"/>
    <n v="131.9"/>
    <n v="127.3"/>
    <n v="149.80000000000001"/>
    <n v="129.80000000000001"/>
    <n v="132.87"/>
  </r>
  <r>
    <x v="0"/>
    <x v="4"/>
    <x v="8"/>
    <s v="NA"/>
    <n v="135.19999999999999"/>
    <n v="142"/>
    <n v="130.5"/>
    <n v="140.19999999999999"/>
    <n v="120.7"/>
    <x v="139"/>
    <x v="153"/>
    <n v="137.1"/>
    <n v="121"/>
    <n v="134.69999999999999"/>
    <n v="131.69999999999999"/>
    <n v="149.30000000000001"/>
    <n v="139.6"/>
    <n v="149.80000000000001"/>
    <n v="146.1"/>
    <n v="139.69999999999999"/>
    <n v="145.19999999999999"/>
    <n v="137.4"/>
    <n v="137.9"/>
    <n v="133.4"/>
    <n v="121.2"/>
    <n v="132.30000000000001"/>
    <n v="139.6"/>
    <n v="126.7"/>
    <n v="130.30000000000001"/>
    <n v="137.6"/>
    <n v="139.6"/>
    <s v="NA"/>
    <n v="139.6"/>
    <n v="137.4"/>
    <n v="133.4"/>
    <n v="121.2"/>
    <n v="135.94999999999999"/>
    <n v="132.30000000000001"/>
    <n v="149.80000000000001"/>
    <n v="134.10000000000002"/>
    <n v="135.92777777777778"/>
  </r>
  <r>
    <x v="1"/>
    <x v="4"/>
    <x v="8"/>
    <n v="135.69999999999999"/>
    <n v="133.6"/>
    <n v="143"/>
    <n v="129.69999999999999"/>
    <n v="138.69999999999999"/>
    <n v="114.5"/>
    <x v="140"/>
    <x v="154"/>
    <n v="124.5"/>
    <n v="122.4"/>
    <n v="137.30000000000001"/>
    <n v="124.8"/>
    <n v="145"/>
    <n v="138"/>
    <n v="153.6"/>
    <n v="133.30000000000001"/>
    <n v="124.6"/>
    <n v="132"/>
    <n v="120.6"/>
    <n v="128.1"/>
    <n v="126.1"/>
    <n v="115.7"/>
    <n v="124.5"/>
    <n v="135.9"/>
    <n v="124.4"/>
    <n v="124.5"/>
    <n v="132.4"/>
    <n v="138"/>
    <n v="135.69999999999999"/>
    <n v="135.9"/>
    <n v="120.6"/>
    <n v="126.1"/>
    <n v="115.7"/>
    <n v="128.19999999999999"/>
    <n v="124.5"/>
    <n v="153.6"/>
    <n v="126.3"/>
    <n v="130.45999999999998"/>
  </r>
  <r>
    <x v="2"/>
    <x v="4"/>
    <x v="8"/>
    <n v="135.69999999999999"/>
    <n v="134.69999999999999"/>
    <n v="142.4"/>
    <n v="130.19999999999999"/>
    <n v="139.6"/>
    <n v="118.4"/>
    <x v="141"/>
    <x v="155"/>
    <n v="132.9"/>
    <n v="121.5"/>
    <n v="135.6"/>
    <n v="128.80000000000001"/>
    <n v="147.30000000000001"/>
    <n v="139"/>
    <n v="150.80000000000001"/>
    <n v="141.1"/>
    <n v="133.4"/>
    <n v="140"/>
    <n v="131"/>
    <n v="133.30000000000001"/>
    <n v="130.6"/>
    <n v="118.3"/>
    <n v="127.9"/>
    <n v="137.4"/>
    <n v="125.7"/>
    <n v="127.5"/>
    <n v="135.19999999999999"/>
    <n v="139"/>
    <n v="135.69999999999999"/>
    <n v="137.4"/>
    <n v="131"/>
    <n v="130.6"/>
    <n v="118.3"/>
    <n v="132.85"/>
    <n v="127.9"/>
    <n v="150.80000000000001"/>
    <n v="130.4"/>
    <n v="133.39500000000001"/>
  </r>
  <r>
    <x v="0"/>
    <x v="4"/>
    <x v="9"/>
    <s v="NA"/>
    <n v="135.9"/>
    <n v="141.9"/>
    <n v="131"/>
    <n v="141.5"/>
    <n v="121.4"/>
    <x v="142"/>
    <x v="156"/>
    <n v="136.4"/>
    <n v="121.4"/>
    <n v="135.6"/>
    <n v="131.30000000000001"/>
    <n v="150.30000000000001"/>
    <n v="140.4"/>
    <n v="150.5"/>
    <n v="147.19999999999999"/>
    <n v="140.6"/>
    <n v="146.19999999999999"/>
    <n v="138.1"/>
    <n v="138.4"/>
    <n v="134.19999999999999"/>
    <n v="121"/>
    <n v="133"/>
    <n v="140.1"/>
    <n v="127.4"/>
    <n v="130.69999999999999"/>
    <n v="138.30000000000001"/>
    <n v="140.4"/>
    <s v="NA"/>
    <n v="140.1"/>
    <n v="138.1"/>
    <n v="134.19999999999999"/>
    <n v="121"/>
    <n v="136.80000000000001"/>
    <n v="133"/>
    <n v="150.5"/>
    <n v="134.55000000000001"/>
    <n v="136.51666666666665"/>
  </r>
  <r>
    <x v="1"/>
    <x v="4"/>
    <x v="9"/>
    <n v="137.30000000000001"/>
    <n v="133.9"/>
    <n v="142.80000000000001"/>
    <n v="131.4"/>
    <n v="139.1"/>
    <n v="114.9"/>
    <x v="117"/>
    <x v="157"/>
    <n v="124.1"/>
    <n v="122.6"/>
    <n v="137.80000000000001"/>
    <n v="125.1"/>
    <n v="145.5"/>
    <n v="139.69999999999999"/>
    <n v="154.6"/>
    <n v="134"/>
    <n v="124.9"/>
    <n v="132.6"/>
    <n v="122.6"/>
    <n v="128.30000000000001"/>
    <n v="126.6"/>
    <n v="115"/>
    <n v="124.8"/>
    <n v="136.30000000000001"/>
    <n v="124.6"/>
    <n v="124.5"/>
    <n v="133.5"/>
    <n v="139.69999999999999"/>
    <n v="137.30000000000001"/>
    <n v="136.30000000000001"/>
    <n v="122.6"/>
    <n v="126.6"/>
    <n v="115"/>
    <n v="128.6"/>
    <n v="124.8"/>
    <n v="154.6"/>
    <n v="126.4"/>
    <n v="131.19"/>
  </r>
  <r>
    <x v="2"/>
    <x v="4"/>
    <x v="9"/>
    <n v="137.30000000000001"/>
    <n v="135.30000000000001"/>
    <n v="142.19999999999999"/>
    <n v="131.19999999999999"/>
    <n v="140.6"/>
    <n v="119"/>
    <x v="143"/>
    <x v="158"/>
    <n v="132.30000000000001"/>
    <n v="121.8"/>
    <n v="136.30000000000001"/>
    <n v="128.69999999999999"/>
    <n v="148.1"/>
    <n v="140.1"/>
    <n v="151.6"/>
    <n v="142"/>
    <n v="134.1"/>
    <n v="140.80000000000001"/>
    <n v="132.19999999999999"/>
    <n v="133.6"/>
    <n v="131.30000000000001"/>
    <n v="117.8"/>
    <n v="128.4"/>
    <n v="137.9"/>
    <n v="126.2"/>
    <n v="127.7"/>
    <n v="136.1"/>
    <n v="140.1"/>
    <n v="137.30000000000001"/>
    <n v="137.9"/>
    <n v="132.19999999999999"/>
    <n v="131.30000000000001"/>
    <n v="117.8"/>
    <n v="133.5"/>
    <n v="128.4"/>
    <n v="151.6"/>
    <n v="130.65"/>
    <n v="134.07499999999999"/>
  </r>
  <r>
    <x v="0"/>
    <x v="4"/>
    <x v="11"/>
    <s v="NA"/>
    <n v="136.30000000000001"/>
    <n v="142.5"/>
    <n v="140.5"/>
    <n v="141.5"/>
    <n v="121.6"/>
    <x v="144"/>
    <x v="159"/>
    <n v="135.80000000000001"/>
    <n v="122.5"/>
    <n v="136"/>
    <n v="131.9"/>
    <n v="151.4"/>
    <n v="142.4"/>
    <n v="152.1"/>
    <n v="148.19999999999999"/>
    <n v="141.5"/>
    <n v="147.30000000000001"/>
    <n v="141.1"/>
    <n v="139.4"/>
    <n v="135.80000000000001"/>
    <n v="121.6"/>
    <n v="133.69999999999999"/>
    <n v="141.5"/>
    <n v="128.1"/>
    <n v="131.69999999999999"/>
    <n v="140"/>
    <n v="142.4"/>
    <s v="NA"/>
    <n v="141.5"/>
    <n v="141.1"/>
    <n v="135.80000000000001"/>
    <n v="121.6"/>
    <n v="137.69999999999999"/>
    <n v="133.69999999999999"/>
    <n v="152.1"/>
    <n v="135.55000000000001"/>
    <n v="137.93888888888887"/>
  </r>
  <r>
    <x v="1"/>
    <x v="4"/>
    <x v="11"/>
    <n v="138.6"/>
    <n v="134.30000000000001"/>
    <n v="142.1"/>
    <n v="146.69999999999999"/>
    <n v="139.5"/>
    <n v="115.2"/>
    <x v="145"/>
    <x v="160"/>
    <n v="122.2"/>
    <n v="123.9"/>
    <n v="138.30000000000001"/>
    <n v="125.4"/>
    <n v="146"/>
    <n v="141.5"/>
    <n v="156.19999999999999"/>
    <n v="135"/>
    <n v="125.4"/>
    <n v="133.5"/>
    <n v="125.7"/>
    <n v="128.80000000000001"/>
    <n v="127.4"/>
    <n v="115.3"/>
    <n v="125.1"/>
    <n v="136.6"/>
    <n v="124.9"/>
    <n v="124.9"/>
    <n v="134.80000000000001"/>
    <n v="141.5"/>
    <n v="138.6"/>
    <n v="136.6"/>
    <n v="125.7"/>
    <n v="127.4"/>
    <n v="115.3"/>
    <n v="129.19999999999999"/>
    <n v="125.1"/>
    <n v="156.19999999999999"/>
    <n v="126.85000000000001"/>
    <n v="132.24499999999998"/>
  </r>
  <r>
    <x v="2"/>
    <x v="4"/>
    <x v="11"/>
    <n v="138.6"/>
    <n v="135.69999999999999"/>
    <n v="142.4"/>
    <n v="142.9"/>
    <n v="140.80000000000001"/>
    <n v="119.2"/>
    <x v="146"/>
    <x v="161"/>
    <n v="131.19999999999999"/>
    <n v="123"/>
    <n v="136.80000000000001"/>
    <n v="129.19999999999999"/>
    <n v="148.9"/>
    <n v="142.1"/>
    <n v="153.19999999999999"/>
    <n v="143"/>
    <n v="134.80000000000001"/>
    <n v="141.80000000000001"/>
    <n v="135.30000000000001"/>
    <n v="134.4"/>
    <n v="132.6"/>
    <n v="118.3"/>
    <n v="128.9"/>
    <n v="138.6"/>
    <n v="126.8"/>
    <n v="128.4"/>
    <n v="137.6"/>
    <n v="142.1"/>
    <n v="138.6"/>
    <n v="138.6"/>
    <n v="135.30000000000001"/>
    <n v="132.6"/>
    <n v="118.3"/>
    <n v="134.30000000000001"/>
    <n v="128.9"/>
    <n v="153.19999999999999"/>
    <n v="131.4"/>
    <n v="135.33000000000001"/>
  </r>
  <r>
    <x v="0"/>
    <x v="4"/>
    <x v="12"/>
    <s v="NA"/>
    <n v="136.4"/>
    <n v="143.69999999999999"/>
    <n v="144.80000000000001"/>
    <n v="141.9"/>
    <n v="123.1"/>
    <x v="147"/>
    <x v="162"/>
    <n v="133.80000000000001"/>
    <n v="121.9"/>
    <n v="135.80000000000001"/>
    <n v="131.1"/>
    <n v="151.4"/>
    <n v="141.5"/>
    <n v="153.19999999999999"/>
    <n v="148"/>
    <n v="141.9"/>
    <n v="147.19999999999999"/>
    <n v="142.6"/>
    <n v="139.5"/>
    <n v="136.1"/>
    <n v="122"/>
    <n v="133.4"/>
    <n v="141.1"/>
    <n v="127.8"/>
    <n v="131.9"/>
    <n v="139.80000000000001"/>
    <n v="141.5"/>
    <s v="NA"/>
    <n v="141.1"/>
    <n v="142.6"/>
    <n v="136.1"/>
    <n v="122"/>
    <n v="137.5"/>
    <n v="133.4"/>
    <n v="153.19999999999999"/>
    <n v="135.69999999999999"/>
    <n v="138.12222222222223"/>
  </r>
  <r>
    <x v="1"/>
    <x v="4"/>
    <x v="12"/>
    <n v="139.1"/>
    <n v="134.4"/>
    <n v="142.6"/>
    <n v="145.9"/>
    <n v="139.5"/>
    <n v="115.9"/>
    <x v="148"/>
    <x v="163"/>
    <n v="119.8"/>
    <n v="120.7"/>
    <n v="139.69999999999999"/>
    <n v="125.7"/>
    <n v="146.30000000000001"/>
    <n v="138.80000000000001"/>
    <n v="157"/>
    <n v="135.6"/>
    <n v="125.6"/>
    <n v="134"/>
    <n v="126.8"/>
    <n v="129.30000000000001"/>
    <n v="128.19999999999999"/>
    <n v="115.3"/>
    <n v="125.6"/>
    <n v="136.69999999999999"/>
    <n v="124.6"/>
    <n v="125.1"/>
    <n v="134.1"/>
    <n v="138.80000000000001"/>
    <n v="139.1"/>
    <n v="136.69999999999999"/>
    <n v="126.8"/>
    <n v="128.19999999999999"/>
    <n v="115.3"/>
    <n v="129.30000000000001"/>
    <n v="125.6"/>
    <n v="157"/>
    <n v="127.2"/>
    <n v="132.39999999999998"/>
  </r>
  <r>
    <x v="2"/>
    <x v="4"/>
    <x v="12"/>
    <n v="139.1"/>
    <n v="135.80000000000001"/>
    <n v="143.30000000000001"/>
    <n v="145.19999999999999"/>
    <n v="141"/>
    <n v="120.5"/>
    <x v="143"/>
    <x v="164"/>
    <n v="129.1"/>
    <n v="121.5"/>
    <n v="137.1"/>
    <n v="128.80000000000001"/>
    <n v="149"/>
    <n v="140.5"/>
    <n v="154.19999999999999"/>
    <n v="143.1"/>
    <n v="135.1"/>
    <n v="142"/>
    <n v="136.6"/>
    <n v="134.69999999999999"/>
    <n v="133.1"/>
    <n v="118.5"/>
    <n v="129"/>
    <n v="138.5"/>
    <n v="126.5"/>
    <n v="128.6"/>
    <n v="137.19999999999999"/>
    <n v="140.5"/>
    <n v="139.1"/>
    <n v="138.5"/>
    <n v="136.6"/>
    <n v="133.1"/>
    <n v="118.5"/>
    <n v="134.25"/>
    <n v="129"/>
    <n v="154.19999999999999"/>
    <n v="131.64999999999998"/>
    <n v="135.54000000000002"/>
  </r>
  <r>
    <x v="0"/>
    <x v="5"/>
    <x v="0"/>
    <s v="NA"/>
    <n v="136.6"/>
    <n v="144.4"/>
    <n v="143.80000000000001"/>
    <n v="142"/>
    <n v="123.2"/>
    <x v="149"/>
    <x v="165"/>
    <n v="131.80000000000001"/>
    <n v="119.5"/>
    <n v="136"/>
    <n v="131.19999999999999"/>
    <n v="151.80000000000001"/>
    <n v="140.4"/>
    <n v="153.6"/>
    <n v="148.30000000000001"/>
    <n v="142.30000000000001"/>
    <n v="147.5"/>
    <n v="142.30000000000001"/>
    <n v="139.80000000000001"/>
    <n v="136"/>
    <n v="122.7"/>
    <n v="134.30000000000001"/>
    <n v="141.6"/>
    <n v="128.6"/>
    <n v="132.30000000000001"/>
    <n v="139.30000000000001"/>
    <n v="140.4"/>
    <s v="NA"/>
    <n v="141.6"/>
    <n v="142.30000000000001"/>
    <n v="136"/>
    <n v="122.7"/>
    <n v="138.05000000000001"/>
    <n v="134.30000000000001"/>
    <n v="153.6"/>
    <n v="136.05000000000001"/>
    <n v="138.33333333333331"/>
  </r>
  <r>
    <x v="1"/>
    <x v="5"/>
    <x v="0"/>
    <n v="140.4"/>
    <n v="134.6"/>
    <n v="143.69999999999999"/>
    <n v="143.6"/>
    <n v="139.6"/>
    <n v="116.4"/>
    <x v="150"/>
    <x v="166"/>
    <n v="118.4"/>
    <n v="117.3"/>
    <n v="140.5"/>
    <n v="125.9"/>
    <n v="146.80000000000001"/>
    <n v="137.19999999999999"/>
    <n v="157.69999999999999"/>
    <n v="136"/>
    <n v="125.9"/>
    <n v="134.4"/>
    <n v="127.3"/>
    <n v="129.5"/>
    <n v="129"/>
    <n v="116.3"/>
    <n v="126.2"/>
    <n v="137.1"/>
    <n v="125.5"/>
    <n v="125.8"/>
    <n v="134.1"/>
    <n v="137.19999999999999"/>
    <n v="140.4"/>
    <n v="137.1"/>
    <n v="127.3"/>
    <n v="129"/>
    <n v="116.3"/>
    <n v="129.94999999999999"/>
    <n v="126.2"/>
    <n v="157.69999999999999"/>
    <n v="127.65"/>
    <n v="132.88000000000002"/>
  </r>
  <r>
    <x v="2"/>
    <x v="5"/>
    <x v="0"/>
    <n v="140.4"/>
    <n v="136"/>
    <n v="144.19999999999999"/>
    <n v="143.69999999999999"/>
    <n v="141.1"/>
    <n v="120.7"/>
    <x v="151"/>
    <x v="167"/>
    <n v="127.3"/>
    <n v="118.8"/>
    <n v="137.5"/>
    <n v="129"/>
    <n v="149.5"/>
    <n v="139.19999999999999"/>
    <n v="154.69999999999999"/>
    <n v="143.5"/>
    <n v="135.5"/>
    <n v="142.30000000000001"/>
    <n v="136.6"/>
    <n v="134.9"/>
    <n v="133.30000000000001"/>
    <n v="119.3"/>
    <n v="129.69999999999999"/>
    <n v="139"/>
    <n v="127.3"/>
    <n v="129.1"/>
    <n v="136.9"/>
    <n v="139.19999999999999"/>
    <n v="140.4"/>
    <n v="139"/>
    <n v="136.6"/>
    <n v="133.30000000000001"/>
    <n v="119.3"/>
    <n v="134.80000000000001"/>
    <n v="129.69999999999999"/>
    <n v="154.69999999999999"/>
    <n v="132"/>
    <n v="135.9"/>
  </r>
  <r>
    <x v="0"/>
    <x v="5"/>
    <x v="1"/>
    <s v="NA"/>
    <n v="136.4"/>
    <n v="143.69999999999999"/>
    <n v="140.6"/>
    <n v="141.5"/>
    <n v="122.9"/>
    <x v="152"/>
    <x v="168"/>
    <n v="130.19999999999999"/>
    <n v="117.9"/>
    <n v="135.6"/>
    <n v="130.5"/>
    <n v="151.69999999999999"/>
    <n v="138.69999999999999"/>
    <n v="153.30000000000001"/>
    <n v="148.69999999999999"/>
    <n v="142.4"/>
    <n v="147.80000000000001"/>
    <n v="142.4"/>
    <n v="139.9"/>
    <n v="136.19999999999999"/>
    <n v="123.3"/>
    <n v="134.30000000000001"/>
    <n v="141.5"/>
    <n v="128.80000000000001"/>
    <n v="132.5"/>
    <n v="138.5"/>
    <n v="138.69999999999999"/>
    <s v="NA"/>
    <n v="141.5"/>
    <n v="142.4"/>
    <n v="136.19999999999999"/>
    <n v="123.3"/>
    <n v="138.30000000000001"/>
    <n v="134.30000000000001"/>
    <n v="153.30000000000001"/>
    <n v="136.19999999999999"/>
    <n v="138.24444444444441"/>
  </r>
  <r>
    <x v="1"/>
    <x v="5"/>
    <x v="1"/>
    <n v="141.30000000000001"/>
    <n v="134.80000000000001"/>
    <n v="143"/>
    <n v="139.9"/>
    <n v="139.9"/>
    <n v="116.2"/>
    <x v="105"/>
    <x v="169"/>
    <n v="117"/>
    <n v="115.4"/>
    <n v="140.69999999999999"/>
    <n v="125.9"/>
    <n v="147.1"/>
    <n v="135.6"/>
    <n v="159.30000000000001"/>
    <n v="136.30000000000001"/>
    <n v="126.1"/>
    <n v="134.69999999999999"/>
    <n v="127.3"/>
    <n v="129.9"/>
    <n v="129.80000000000001"/>
    <n v="117.4"/>
    <n v="126.5"/>
    <n v="137.19999999999999"/>
    <n v="126.2"/>
    <n v="126.5"/>
    <n v="134"/>
    <n v="135.6"/>
    <n v="141.30000000000001"/>
    <n v="137.19999999999999"/>
    <n v="127.3"/>
    <n v="129.80000000000001"/>
    <n v="117.4"/>
    <n v="130.44999999999999"/>
    <n v="126.5"/>
    <n v="159.30000000000001"/>
    <n v="128.19999999999999"/>
    <n v="133.30500000000001"/>
  </r>
  <r>
    <x v="2"/>
    <x v="5"/>
    <x v="1"/>
    <n v="141.30000000000001"/>
    <n v="135.9"/>
    <n v="143.5"/>
    <n v="140.30000000000001"/>
    <n v="140.9"/>
    <n v="120.4"/>
    <x v="153"/>
    <x v="68"/>
    <n v="125.8"/>
    <n v="117.1"/>
    <n v="137.30000000000001"/>
    <n v="128.6"/>
    <n v="149.6"/>
    <n v="137.6"/>
    <n v="154.9"/>
    <n v="143.80000000000001"/>
    <n v="135.6"/>
    <n v="142.6"/>
    <n v="136.69999999999999"/>
    <n v="135.19999999999999"/>
    <n v="133.80000000000001"/>
    <n v="120.2"/>
    <n v="129.9"/>
    <n v="139"/>
    <n v="127.7"/>
    <n v="129.6"/>
    <n v="136.4"/>
    <n v="137.6"/>
    <n v="141.30000000000001"/>
    <n v="139"/>
    <n v="136.69999999999999"/>
    <n v="133.80000000000001"/>
    <n v="120.2"/>
    <n v="135.15"/>
    <n v="129.9"/>
    <n v="154.9"/>
    <n v="132.39999999999998"/>
    <n v="136.09499999999997"/>
  </r>
  <r>
    <x v="0"/>
    <x v="5"/>
    <x v="2"/>
    <s v="NA"/>
    <n v="136.80000000000001"/>
    <n v="143.80000000000001"/>
    <n v="140"/>
    <n v="142"/>
    <n v="123.2"/>
    <x v="154"/>
    <x v="170"/>
    <n v="129.30000000000001"/>
    <n v="117.1"/>
    <n v="136.30000000000001"/>
    <n v="131.19999999999999"/>
    <n v="152.80000000000001"/>
    <n v="138.6"/>
    <n v="155.1"/>
    <n v="149.19999999999999"/>
    <n v="143"/>
    <n v="148.30000000000001"/>
    <n v="142.6"/>
    <n v="139.9"/>
    <n v="136.69999999999999"/>
    <n v="124.6"/>
    <n v="135.1"/>
    <n v="142.69999999999999"/>
    <n v="129.30000000000001"/>
    <n v="133.30000000000001"/>
    <n v="138.69999999999999"/>
    <n v="138.6"/>
    <s v="NA"/>
    <n v="142.69999999999999"/>
    <n v="142.6"/>
    <n v="136.69999999999999"/>
    <n v="124.6"/>
    <n v="138.80000000000001"/>
    <n v="135.1"/>
    <n v="155.1"/>
    <n v="136.60000000000002"/>
    <n v="138.97777777777779"/>
  </r>
  <r>
    <x v="1"/>
    <x v="5"/>
    <x v="2"/>
    <n v="142"/>
    <n v="135"/>
    <n v="143.1"/>
    <n v="135.5"/>
    <n v="139.9"/>
    <n v="116.5"/>
    <x v="107"/>
    <x v="75"/>
    <n v="115.5"/>
    <n v="114.2"/>
    <n v="140.69999999999999"/>
    <n v="126.2"/>
    <n v="147.6"/>
    <n v="134.80000000000001"/>
    <n v="159.69999999999999"/>
    <n v="136.69999999999999"/>
    <n v="126.7"/>
    <n v="135.19999999999999"/>
    <n v="126.4"/>
    <n v="130.80000000000001"/>
    <n v="130.5"/>
    <n v="117.8"/>
    <n v="126.8"/>
    <n v="137.80000000000001"/>
    <n v="126.7"/>
    <n v="127.1"/>
    <n v="134"/>
    <n v="134.80000000000001"/>
    <n v="142"/>
    <n v="137.80000000000001"/>
    <n v="126.4"/>
    <n v="130.5"/>
    <n v="117.8"/>
    <n v="130.94999999999999"/>
    <n v="126.8"/>
    <n v="159.69999999999999"/>
    <n v="128.94999999999999"/>
    <n v="133.57"/>
  </r>
  <r>
    <x v="2"/>
    <x v="5"/>
    <x v="2"/>
    <n v="142"/>
    <n v="136.19999999999999"/>
    <n v="143.6"/>
    <n v="138.30000000000001"/>
    <n v="141.19999999999999"/>
    <n v="120.7"/>
    <x v="155"/>
    <x v="171"/>
    <n v="124.6"/>
    <n v="116.1"/>
    <n v="137.80000000000001"/>
    <n v="129.1"/>
    <n v="150.4"/>
    <n v="137.19999999999999"/>
    <n v="156.30000000000001"/>
    <n v="144.30000000000001"/>
    <n v="136.19999999999999"/>
    <n v="143.1"/>
    <n v="136.5"/>
    <n v="135.6"/>
    <n v="134.30000000000001"/>
    <n v="121"/>
    <n v="130.4"/>
    <n v="139.80000000000001"/>
    <n v="128.19999999999999"/>
    <n v="130.30000000000001"/>
    <n v="136.5"/>
    <n v="137.19999999999999"/>
    <n v="142"/>
    <n v="139.80000000000001"/>
    <n v="136.5"/>
    <n v="134.30000000000001"/>
    <n v="121"/>
    <n v="135.64999999999998"/>
    <n v="130.4"/>
    <n v="156.30000000000001"/>
    <n v="132.94999999999999"/>
    <n v="136.60999999999999"/>
  </r>
  <r>
    <x v="0"/>
    <x v="5"/>
    <x v="3"/>
    <s v="NA"/>
    <n v="137.1"/>
    <n v="144.5"/>
    <n v="135.9"/>
    <n v="142.4"/>
    <n v="123.5"/>
    <x v="156"/>
    <x v="172"/>
    <n v="128.4"/>
    <n v="115.2"/>
    <n v="137.19999999999999"/>
    <n v="131.9"/>
    <n v="153.80000000000001"/>
    <n v="138.6"/>
    <n v="156.1"/>
    <n v="150.1"/>
    <n v="143.30000000000001"/>
    <n v="149.1"/>
    <n v="143.80000000000001"/>
    <n v="140.9"/>
    <n v="137.6"/>
    <n v="125.3"/>
    <n v="136"/>
    <n v="143.69999999999999"/>
    <n v="130.4"/>
    <n v="134.19999999999999"/>
    <n v="139.1"/>
    <n v="138.6"/>
    <s v="NA"/>
    <n v="143.69999999999999"/>
    <n v="143.80000000000001"/>
    <n v="137.6"/>
    <n v="125.3"/>
    <n v="139.75"/>
    <n v="136"/>
    <n v="156.1"/>
    <n v="137.55000000000001"/>
    <n v="139.82222222222219"/>
  </r>
  <r>
    <x v="1"/>
    <x v="5"/>
    <x v="3"/>
    <n v="142.9"/>
    <n v="135"/>
    <n v="144.30000000000001"/>
    <n v="130.80000000000001"/>
    <n v="140.30000000000001"/>
    <n v="116.6"/>
    <x v="157"/>
    <x v="173"/>
    <n v="114"/>
    <n v="110.6"/>
    <n v="140.19999999999999"/>
    <n v="126.5"/>
    <n v="148.30000000000001"/>
    <n v="135.69999999999999"/>
    <n v="159.19999999999999"/>
    <n v="137.80000000000001"/>
    <n v="127.4"/>
    <n v="136.19999999999999"/>
    <n v="124.6"/>
    <n v="131.80000000000001"/>
    <n v="131.30000000000001"/>
    <n v="118.9"/>
    <n v="127.6"/>
    <n v="139.69999999999999"/>
    <n v="127.6"/>
    <n v="128.19999999999999"/>
    <n v="134.80000000000001"/>
    <n v="135.69999999999999"/>
    <n v="142.9"/>
    <n v="139.69999999999999"/>
    <n v="124.6"/>
    <n v="131.30000000000001"/>
    <n v="118.9"/>
    <n v="131.89999999999998"/>
    <n v="127.6"/>
    <n v="159.19999999999999"/>
    <n v="130"/>
    <n v="134.18"/>
  </r>
  <r>
    <x v="2"/>
    <x v="5"/>
    <x v="3"/>
    <n v="142.9"/>
    <n v="136.4"/>
    <n v="144.4"/>
    <n v="133.9"/>
    <n v="141.6"/>
    <n v="121"/>
    <x v="158"/>
    <x v="174"/>
    <n v="123.5"/>
    <n v="113.7"/>
    <n v="138.19999999999999"/>
    <n v="129.6"/>
    <n v="151.19999999999999"/>
    <n v="137.5"/>
    <n v="156.9"/>
    <n v="145.30000000000001"/>
    <n v="136.69999999999999"/>
    <n v="144"/>
    <n v="136.5"/>
    <n v="136.6"/>
    <n v="135.19999999999999"/>
    <n v="121.9"/>
    <n v="131.30000000000001"/>
    <n v="141.4"/>
    <n v="129.19999999999999"/>
    <n v="131.30000000000001"/>
    <n v="137.1"/>
    <n v="137.5"/>
    <n v="142.9"/>
    <n v="141.4"/>
    <n v="136.5"/>
    <n v="135.19999999999999"/>
    <n v="121.9"/>
    <n v="136.6"/>
    <n v="131.30000000000001"/>
    <n v="156.9"/>
    <n v="133.94999999999999"/>
    <n v="137.41500000000002"/>
  </r>
  <r>
    <x v="0"/>
    <x v="5"/>
    <x v="4"/>
    <s v="NA"/>
    <n v="137.4"/>
    <n v="145.69999999999999"/>
    <n v="135.5"/>
    <n v="142.9"/>
    <n v="123.6"/>
    <x v="159"/>
    <x v="175"/>
    <n v="127.2"/>
    <n v="111.8"/>
    <n v="137.4"/>
    <n v="132.19999999999999"/>
    <n v="154.30000000000001"/>
    <n v="139.1"/>
    <n v="157"/>
    <n v="150.80000000000001"/>
    <n v="144.1"/>
    <n v="149.80000000000001"/>
    <n v="144.30000000000001"/>
    <n v="141.80000000000001"/>
    <n v="138.4"/>
    <n v="126.4"/>
    <n v="136.80000000000001"/>
    <n v="144.4"/>
    <n v="131.19999999999999"/>
    <n v="135.1"/>
    <n v="139.80000000000001"/>
    <n v="139.1"/>
    <s v="NA"/>
    <n v="144.4"/>
    <n v="144.30000000000001"/>
    <n v="138.4"/>
    <n v="126.4"/>
    <n v="140.5"/>
    <n v="136.80000000000001"/>
    <n v="157"/>
    <n v="138.44999999999999"/>
    <n v="140.59444444444446"/>
  </r>
  <r>
    <x v="1"/>
    <x v="5"/>
    <x v="4"/>
    <n v="143.19999999999999"/>
    <n v="135"/>
    <n v="148.19999999999999"/>
    <n v="130.5"/>
    <n v="140.69999999999999"/>
    <n v="116.4"/>
    <x v="160"/>
    <x v="76"/>
    <n v="112.8"/>
    <n v="105.3"/>
    <n v="139.6"/>
    <n v="126.6"/>
    <n v="148.69999999999999"/>
    <n v="136.4"/>
    <n v="160.30000000000001"/>
    <n v="138.6"/>
    <n v="127.9"/>
    <n v="137"/>
    <n v="124.7"/>
    <n v="132.5"/>
    <n v="132"/>
    <n v="119.8"/>
    <n v="128"/>
    <n v="140.4"/>
    <n v="128.1"/>
    <n v="128.9"/>
    <n v="135.4"/>
    <n v="136.4"/>
    <n v="143.19999999999999"/>
    <n v="140.4"/>
    <n v="124.7"/>
    <n v="132"/>
    <n v="119.8"/>
    <n v="132.55000000000001"/>
    <n v="128"/>
    <n v="160.30000000000001"/>
    <n v="130.69999999999999"/>
    <n v="134.80500000000001"/>
  </r>
  <r>
    <x v="2"/>
    <x v="5"/>
    <x v="4"/>
    <n v="143.19999999999999"/>
    <n v="136.6"/>
    <n v="146.6"/>
    <n v="133.6"/>
    <n v="142.1"/>
    <n v="121"/>
    <x v="161"/>
    <x v="81"/>
    <n v="122.3"/>
    <n v="109.6"/>
    <n v="138.1"/>
    <n v="129.9"/>
    <n v="151.69999999999999"/>
    <n v="138.1"/>
    <n v="157.9"/>
    <n v="146"/>
    <n v="137.4"/>
    <n v="144.69999999999999"/>
    <n v="136.9"/>
    <n v="137.4"/>
    <n v="136"/>
    <n v="122.9"/>
    <n v="131.80000000000001"/>
    <n v="142.1"/>
    <n v="129.9"/>
    <n v="132.1"/>
    <n v="137.80000000000001"/>
    <n v="138.1"/>
    <n v="143.19999999999999"/>
    <n v="142.1"/>
    <n v="136.9"/>
    <n v="136"/>
    <n v="122.9"/>
    <n v="137.30000000000001"/>
    <n v="131.80000000000001"/>
    <n v="157.9"/>
    <n v="134.75"/>
    <n v="138.095"/>
  </r>
  <r>
    <x v="0"/>
    <x v="5"/>
    <x v="5"/>
    <s v="NA"/>
    <n v="137.6"/>
    <n v="148.1"/>
    <n v="136.69999999999999"/>
    <n v="143.19999999999999"/>
    <n v="124"/>
    <x v="162"/>
    <x v="176"/>
    <n v="126"/>
    <n v="112.4"/>
    <n v="137.6"/>
    <n v="132.80000000000001"/>
    <n v="154.30000000000001"/>
    <n v="140"/>
    <n v="157.30000000000001"/>
    <n v="151.30000000000001"/>
    <n v="144.69999999999999"/>
    <n v="150.30000000000001"/>
    <n v="145.1"/>
    <n v="142.19999999999999"/>
    <n v="138.4"/>
    <n v="127.4"/>
    <n v="137.80000000000001"/>
    <n v="145.1"/>
    <n v="131.4"/>
    <n v="135.6"/>
    <n v="140.5"/>
    <n v="140"/>
    <s v="NA"/>
    <n v="145.1"/>
    <n v="145.1"/>
    <n v="138.4"/>
    <n v="127.4"/>
    <n v="140.85000000000002"/>
    <n v="137.80000000000001"/>
    <n v="157.30000000000001"/>
    <n v="138.89999999999998"/>
    <n v="141.20555555555555"/>
  </r>
  <r>
    <x v="1"/>
    <x v="5"/>
    <x v="5"/>
    <n v="142.5"/>
    <n v="135.30000000000001"/>
    <n v="149.69999999999999"/>
    <n v="133.9"/>
    <n v="140.80000000000001"/>
    <n v="116.6"/>
    <x v="163"/>
    <x v="177"/>
    <n v="112.3"/>
    <n v="108.4"/>
    <n v="140"/>
    <n v="126.7"/>
    <n v="149"/>
    <n v="138.4"/>
    <n v="161"/>
    <n v="138.9"/>
    <n v="128.69999999999999"/>
    <n v="137.4"/>
    <n v="126.5"/>
    <n v="133.1"/>
    <n v="132.6"/>
    <n v="120.4"/>
    <n v="128.5"/>
    <n v="141.19999999999999"/>
    <n v="128.19999999999999"/>
    <n v="129.5"/>
    <n v="136.19999999999999"/>
    <n v="138.4"/>
    <n v="142.5"/>
    <n v="141.19999999999999"/>
    <n v="126.5"/>
    <n v="132.6"/>
    <n v="120.4"/>
    <n v="132.80000000000001"/>
    <n v="128.5"/>
    <n v="161"/>
    <n v="131.30000000000001"/>
    <n v="135.51999999999998"/>
  </r>
  <r>
    <x v="2"/>
    <x v="5"/>
    <x v="5"/>
    <n v="142.5"/>
    <n v="136.9"/>
    <n v="148.69999999999999"/>
    <n v="135.6"/>
    <n v="142.30000000000001"/>
    <n v="121.3"/>
    <x v="164"/>
    <x v="178"/>
    <n v="121.4"/>
    <n v="111.1"/>
    <n v="138.4"/>
    <n v="130.30000000000001"/>
    <n v="151.80000000000001"/>
    <n v="139.4"/>
    <n v="158.30000000000001"/>
    <n v="146.4"/>
    <n v="138.1"/>
    <n v="145.19999999999999"/>
    <n v="138.1"/>
    <n v="137.9"/>
    <n v="136.19999999999999"/>
    <n v="123.7"/>
    <n v="132.6"/>
    <n v="142.80000000000001"/>
    <n v="130.1"/>
    <n v="132.6"/>
    <n v="138.5"/>
    <n v="139.4"/>
    <n v="142.5"/>
    <n v="142.80000000000001"/>
    <n v="138.1"/>
    <n v="136.19999999999999"/>
    <n v="123.7"/>
    <n v="137.64999999999998"/>
    <n v="132.6"/>
    <n v="158.30000000000001"/>
    <n v="135.25"/>
    <n v="138.65"/>
  </r>
  <r>
    <x v="0"/>
    <x v="5"/>
    <x v="6"/>
    <s v="NA"/>
    <n v="138.4"/>
    <n v="149.30000000000001"/>
    <n v="139.30000000000001"/>
    <n v="143.4"/>
    <n v="124.1"/>
    <x v="165"/>
    <x v="179"/>
    <n v="126.4"/>
    <n v="114.3"/>
    <n v="138.19999999999999"/>
    <n v="132.80000000000001"/>
    <n v="154.80000000000001"/>
    <n v="142"/>
    <n v="156.1"/>
    <n v="151.5"/>
    <n v="145.1"/>
    <n v="150.6"/>
    <n v="146.80000000000001"/>
    <n v="143.1"/>
    <n v="139"/>
    <n v="127.5"/>
    <n v="138.4"/>
    <n v="145.80000000000001"/>
    <n v="131.4"/>
    <n v="136"/>
    <n v="141.80000000000001"/>
    <n v="142"/>
    <s v="NA"/>
    <n v="145.80000000000001"/>
    <n v="146.80000000000001"/>
    <n v="139"/>
    <n v="127.5"/>
    <n v="141"/>
    <n v="138.4"/>
    <n v="156.1"/>
    <n v="139.55000000000001"/>
    <n v="141.79444444444442"/>
  </r>
  <r>
    <x v="1"/>
    <x v="5"/>
    <x v="6"/>
    <n v="143.6"/>
    <n v="135.6"/>
    <n v="148.6"/>
    <n v="139.1"/>
    <n v="141"/>
    <n v="116.7"/>
    <x v="166"/>
    <x v="180"/>
    <n v="112.6"/>
    <n v="111.8"/>
    <n v="140.30000000000001"/>
    <n v="126.8"/>
    <n v="149.4"/>
    <n v="140.30000000000001"/>
    <n v="161.4"/>
    <n v="139.6"/>
    <n v="128.9"/>
    <n v="137.9"/>
    <n v="128.1"/>
    <n v="133.6"/>
    <n v="133.6"/>
    <n v="120.1"/>
    <n v="129"/>
    <n v="144"/>
    <n v="128.19999999999999"/>
    <n v="130.19999999999999"/>
    <n v="137.5"/>
    <n v="140.30000000000001"/>
    <n v="143.6"/>
    <n v="144"/>
    <n v="128.1"/>
    <n v="133.6"/>
    <n v="120.1"/>
    <n v="133.05000000000001"/>
    <n v="129"/>
    <n v="161.4"/>
    <n v="131.89999999999998"/>
    <n v="136.50500000000002"/>
  </r>
  <r>
    <x v="2"/>
    <x v="5"/>
    <x v="6"/>
    <n v="143.6"/>
    <n v="137.5"/>
    <n v="149.1"/>
    <n v="139.19999999999999"/>
    <n v="142.5"/>
    <n v="121.4"/>
    <x v="167"/>
    <x v="181"/>
    <n v="121.7"/>
    <n v="113.5"/>
    <n v="138.9"/>
    <n v="130.30000000000001"/>
    <n v="152.30000000000001"/>
    <n v="141.4"/>
    <n v="157.5"/>
    <n v="146.80000000000001"/>
    <n v="138.4"/>
    <n v="145.6"/>
    <n v="139.69999999999999"/>
    <n v="138.6"/>
    <n v="137"/>
    <n v="123.6"/>
    <n v="133.1"/>
    <n v="144.69999999999999"/>
    <n v="130.1"/>
    <n v="133.19999999999999"/>
    <n v="139.80000000000001"/>
    <n v="141.4"/>
    <n v="143.6"/>
    <n v="144.69999999999999"/>
    <n v="139.69999999999999"/>
    <n v="137"/>
    <n v="123.6"/>
    <n v="137.85"/>
    <n v="133.1"/>
    <n v="157.5"/>
    <n v="135.89999999999998"/>
    <n v="139.435"/>
  </r>
  <r>
    <x v="0"/>
    <x v="5"/>
    <x v="7"/>
    <s v="NA"/>
    <n v="139.19999999999999"/>
    <n v="148.80000000000001"/>
    <n v="139.1"/>
    <n v="143.5"/>
    <n v="125"/>
    <x v="168"/>
    <x v="182"/>
    <n v="126.8"/>
    <n v="115.4"/>
    <n v="138.6"/>
    <n v="133.80000000000001"/>
    <n v="155.19999999999999"/>
    <n v="142.69999999999999"/>
    <n v="156.4"/>
    <n v="152.1"/>
    <n v="145.80000000000001"/>
    <n v="151.30000000000001"/>
    <n v="147.69999999999999"/>
    <n v="143.80000000000001"/>
    <n v="139.4"/>
    <n v="128.30000000000001"/>
    <n v="138.6"/>
    <n v="146.9"/>
    <n v="131.30000000000001"/>
    <n v="136.6"/>
    <n v="142.5"/>
    <n v="142.69999999999999"/>
    <s v="NA"/>
    <n v="146.9"/>
    <n v="147.69999999999999"/>
    <n v="139.4"/>
    <n v="128.30000000000001"/>
    <n v="141.30000000000001"/>
    <n v="138.6"/>
    <n v="156.4"/>
    <n v="140.19999999999999"/>
    <n v="142.38888888888889"/>
  </r>
  <r>
    <x v="1"/>
    <x v="5"/>
    <x v="7"/>
    <n v="144.6"/>
    <n v="136.5"/>
    <n v="146.4"/>
    <n v="136.6"/>
    <n v="141.19999999999999"/>
    <n v="117.4"/>
    <x v="169"/>
    <x v="183"/>
    <n v="113.6"/>
    <n v="113.3"/>
    <n v="141.1"/>
    <n v="127.4"/>
    <n v="150.4"/>
    <n v="140.1"/>
    <n v="162.1"/>
    <n v="140"/>
    <n v="129"/>
    <n v="138.30000000000001"/>
    <n v="129.80000000000001"/>
    <n v="134.4"/>
    <n v="134.9"/>
    <n v="120.7"/>
    <n v="129.80000000000001"/>
    <n v="145.30000000000001"/>
    <n v="128.30000000000001"/>
    <n v="131"/>
    <n v="138"/>
    <n v="140.1"/>
    <n v="144.6"/>
    <n v="145.30000000000001"/>
    <n v="129.80000000000001"/>
    <n v="134.9"/>
    <n v="120.7"/>
    <n v="133.30000000000001"/>
    <n v="129.80000000000001"/>
    <n v="162.1"/>
    <n v="132.69999999999999"/>
    <n v="137.32999999999998"/>
  </r>
  <r>
    <x v="2"/>
    <x v="5"/>
    <x v="7"/>
    <n v="144.6"/>
    <n v="138.30000000000001"/>
    <n v="148"/>
    <n v="138.1"/>
    <n v="142.6"/>
    <n v="122.2"/>
    <x v="170"/>
    <x v="155"/>
    <n v="122.4"/>
    <n v="114.7"/>
    <n v="139.4"/>
    <n v="131.1"/>
    <n v="153"/>
    <n v="141.69999999999999"/>
    <n v="157.9"/>
    <n v="147.30000000000001"/>
    <n v="138.80000000000001"/>
    <n v="146.1"/>
    <n v="140.9"/>
    <n v="139.4"/>
    <n v="137.69999999999999"/>
    <n v="124.3"/>
    <n v="133.6"/>
    <n v="146"/>
    <n v="130.1"/>
    <n v="133.9"/>
    <n v="140.4"/>
    <n v="141.69999999999999"/>
    <n v="144.6"/>
    <n v="146"/>
    <n v="140.9"/>
    <n v="137.69999999999999"/>
    <n v="124.3"/>
    <n v="138.1"/>
    <n v="133.6"/>
    <n v="157.9"/>
    <n v="136.65"/>
    <n v="140.14500000000001"/>
  </r>
  <r>
    <x v="0"/>
    <x v="5"/>
    <x v="8"/>
    <s v="NA"/>
    <n v="139.4"/>
    <n v="147.19999999999999"/>
    <n v="136.6"/>
    <n v="143.69999999999999"/>
    <n v="124.6"/>
    <x v="157"/>
    <x v="184"/>
    <n v="125.4"/>
    <n v="114.4"/>
    <n v="138.69999999999999"/>
    <n v="133.1"/>
    <n v="155.9"/>
    <n v="141.30000000000001"/>
    <n v="157.69999999999999"/>
    <n v="152.1"/>
    <n v="146.1"/>
    <n v="151.30000000000001"/>
    <n v="149"/>
    <n v="144"/>
    <n v="140"/>
    <n v="129.9"/>
    <n v="140"/>
    <n v="147.6"/>
    <n v="132"/>
    <n v="137.4"/>
    <n v="142.1"/>
    <n v="141.30000000000001"/>
    <s v="NA"/>
    <n v="147.6"/>
    <n v="149"/>
    <n v="140"/>
    <n v="129.9"/>
    <n v="141.65"/>
    <n v="140"/>
    <n v="157.69999999999999"/>
    <n v="140.69999999999999"/>
    <n v="143.09444444444443"/>
  </r>
  <r>
    <x v="1"/>
    <x v="5"/>
    <x v="8"/>
    <n v="145.30000000000001"/>
    <n v="137"/>
    <n v="143.1"/>
    <n v="132.80000000000001"/>
    <n v="141.5"/>
    <n v="117.8"/>
    <x v="171"/>
    <x v="185"/>
    <n v="113.5"/>
    <n v="112.3"/>
    <n v="141.19999999999999"/>
    <n v="127.7"/>
    <n v="151.30000000000001"/>
    <n v="138.9"/>
    <n v="163.30000000000001"/>
    <n v="140.80000000000001"/>
    <n v="129.30000000000001"/>
    <n v="139.1"/>
    <n v="131.19999999999999"/>
    <n v="134.9"/>
    <n v="135.69999999999999"/>
    <n v="122.5"/>
    <n v="130.19999999999999"/>
    <n v="145.19999999999999"/>
    <n v="129.30000000000001"/>
    <n v="131.9"/>
    <n v="138.1"/>
    <n v="138.9"/>
    <n v="145.30000000000001"/>
    <n v="145.19999999999999"/>
    <n v="131.19999999999999"/>
    <n v="135.69999999999999"/>
    <n v="122.5"/>
    <n v="134.19999999999999"/>
    <n v="130.19999999999999"/>
    <n v="163.30000000000001"/>
    <n v="133.4"/>
    <n v="137.99"/>
  </r>
  <r>
    <x v="2"/>
    <x v="5"/>
    <x v="8"/>
    <n v="145.30000000000001"/>
    <n v="138.6"/>
    <n v="145.80000000000001"/>
    <n v="135.1"/>
    <n v="142.9"/>
    <n v="122.1"/>
    <x v="172"/>
    <x v="186"/>
    <n v="121.4"/>
    <n v="113.7"/>
    <n v="139.5"/>
    <n v="130.80000000000001"/>
    <n v="153.80000000000001"/>
    <n v="140.4"/>
    <n v="159.19999999999999"/>
    <n v="147.69999999999999"/>
    <n v="139.1"/>
    <n v="146.5"/>
    <n v="142.30000000000001"/>
    <n v="139.69999999999999"/>
    <n v="138.4"/>
    <n v="126"/>
    <n v="134.5"/>
    <n v="146.19999999999999"/>
    <n v="130.9"/>
    <n v="134.69999999999999"/>
    <n v="140.19999999999999"/>
    <n v="140.4"/>
    <n v="145.30000000000001"/>
    <n v="146.19999999999999"/>
    <n v="142.30000000000001"/>
    <n v="138.4"/>
    <n v="126"/>
    <n v="138.69999999999999"/>
    <n v="134.5"/>
    <n v="159.19999999999999"/>
    <n v="137.19999999999999"/>
    <n v="140.82"/>
  </r>
  <r>
    <x v="0"/>
    <x v="5"/>
    <x v="9"/>
    <s v="NA"/>
    <n v="139.30000000000001"/>
    <n v="147.6"/>
    <n v="134.6"/>
    <n v="141.9"/>
    <n v="123.5"/>
    <x v="173"/>
    <x v="187"/>
    <n v="121.4"/>
    <n v="112.3"/>
    <n v="139.5"/>
    <n v="134.6"/>
    <n v="155.19999999999999"/>
    <n v="140.19999999999999"/>
    <n v="159.6"/>
    <n v="150.69999999999999"/>
    <n v="144.5"/>
    <n v="149.80000000000001"/>
    <n v="149.69999999999999"/>
    <n v="147.5"/>
    <n v="144.80000000000001"/>
    <n v="130.80000000000001"/>
    <n v="140.1"/>
    <n v="148"/>
    <n v="134.4"/>
    <n v="139.80000000000001"/>
    <n v="142.19999999999999"/>
    <n v="140.19999999999999"/>
    <s v="NA"/>
    <n v="148"/>
    <n v="149.69999999999999"/>
    <n v="144.80000000000001"/>
    <n v="130.80000000000001"/>
    <n v="142.10000000000002"/>
    <n v="140.1"/>
    <n v="159.6"/>
    <n v="143.65"/>
    <n v="144.32777777777778"/>
  </r>
  <r>
    <x v="1"/>
    <x v="5"/>
    <x v="9"/>
    <n v="146.30000000000001"/>
    <n v="137.6"/>
    <n v="144.9"/>
    <n v="133.5"/>
    <n v="141.5"/>
    <n v="118"/>
    <x v="174"/>
    <x v="188"/>
    <n v="113.2"/>
    <n v="112.8"/>
    <n v="141.1"/>
    <n v="127.6"/>
    <n v="152"/>
    <n v="139.4"/>
    <n v="164"/>
    <n v="141.5"/>
    <n v="129.80000000000001"/>
    <n v="139.69999999999999"/>
    <n v="133.4"/>
    <n v="135.1"/>
    <n v="136.19999999999999"/>
    <n v="123.3"/>
    <n v="130.69999999999999"/>
    <n v="145.5"/>
    <n v="130.4"/>
    <n v="132.5"/>
    <n v="138.9"/>
    <n v="139.4"/>
    <n v="146.30000000000001"/>
    <n v="145.5"/>
    <n v="133.4"/>
    <n v="136.19999999999999"/>
    <n v="123.3"/>
    <n v="135.05000000000001"/>
    <n v="130.69999999999999"/>
    <n v="164"/>
    <n v="133.80000000000001"/>
    <n v="138.76499999999999"/>
  </r>
  <r>
    <x v="2"/>
    <x v="5"/>
    <x v="9"/>
    <n v="146.9"/>
    <n v="137.4"/>
    <n v="149.5"/>
    <n v="137.30000000000001"/>
    <n v="141.9"/>
    <n v="121.1"/>
    <x v="175"/>
    <x v="84"/>
    <n v="119.1"/>
    <n v="111.9"/>
    <n v="141"/>
    <n v="133.6"/>
    <n v="154.5"/>
    <n v="139.69999999999999"/>
    <n v="162.6"/>
    <n v="148"/>
    <n v="139.19999999999999"/>
    <n v="146.80000000000001"/>
    <n v="145.30000000000001"/>
    <n v="142.19999999999999"/>
    <n v="142.1"/>
    <n v="125.5"/>
    <n v="136.5"/>
    <n v="147.80000000000001"/>
    <n v="132"/>
    <n v="136.30000000000001"/>
    <n v="140.80000000000001"/>
    <n v="139.69999999999999"/>
    <n v="146.9"/>
    <n v="147.80000000000001"/>
    <n v="145.30000000000001"/>
    <n v="142.1"/>
    <n v="125.5"/>
    <n v="139.4"/>
    <n v="136.5"/>
    <n v="162.6"/>
    <n v="139.25"/>
    <n v="142.505"/>
  </r>
  <r>
    <x v="0"/>
    <x v="5"/>
    <x v="11"/>
    <s v="NA"/>
    <n v="137.1"/>
    <n v="150.80000000000001"/>
    <n v="136.69999999999999"/>
    <n v="141.9"/>
    <n v="122.8"/>
    <x v="134"/>
    <x v="189"/>
    <n v="121"/>
    <n v="111.6"/>
    <n v="140.6"/>
    <n v="137.5"/>
    <n v="156.1"/>
    <n v="140"/>
    <n v="161.9"/>
    <n v="151.69999999999999"/>
    <n v="145.5"/>
    <n v="150.80000000000001"/>
    <n v="150.30000000000001"/>
    <n v="148"/>
    <n v="145.4"/>
    <n v="130.30000000000001"/>
    <n v="143.1"/>
    <n v="150.19999999999999"/>
    <n v="133.1"/>
    <n v="140.1"/>
    <n v="142.4"/>
    <n v="140"/>
    <s v="NA"/>
    <n v="150.19999999999999"/>
    <n v="150.30000000000001"/>
    <n v="145.4"/>
    <n v="130.30000000000001"/>
    <n v="141.94999999999999"/>
    <n v="143.1"/>
    <n v="161.9"/>
    <n v="144.05000000000001"/>
    <n v="145.24444444444444"/>
  </r>
  <r>
    <x v="1"/>
    <x v="5"/>
    <x v="11"/>
    <n v="146.9"/>
    <n v="138.1"/>
    <n v="146.30000000000001"/>
    <n v="137.80000000000001"/>
    <n v="141.6"/>
    <n v="118.1"/>
    <x v="143"/>
    <x v="190"/>
    <n v="115.3"/>
    <n v="112.5"/>
    <n v="141.4"/>
    <n v="128"/>
    <n v="152.6"/>
    <n v="139.1"/>
    <n v="164.4"/>
    <n v="142.4"/>
    <n v="130.19999999999999"/>
    <n v="140.5"/>
    <n v="136.69999999999999"/>
    <n v="135.80000000000001"/>
    <n v="136.80000000000001"/>
    <n v="121.2"/>
    <n v="131.30000000000001"/>
    <n v="146.1"/>
    <n v="130.5"/>
    <n v="132.19999999999999"/>
    <n v="139"/>
    <n v="139.1"/>
    <n v="146.9"/>
    <n v="146.1"/>
    <n v="136.69999999999999"/>
    <n v="136.80000000000001"/>
    <n v="121.2"/>
    <n v="135.5"/>
    <n v="131.30000000000001"/>
    <n v="164.4"/>
    <n v="134"/>
    <n v="139.19999999999999"/>
  </r>
  <r>
    <x v="2"/>
    <x v="5"/>
    <x v="11"/>
    <n v="146.9"/>
    <n v="137.4"/>
    <n v="149.19999999999999"/>
    <n v="137.1"/>
    <n v="141.80000000000001"/>
    <n v="121.1"/>
    <x v="176"/>
    <x v="84"/>
    <n v="119.1"/>
    <n v="111.9"/>
    <n v="140.9"/>
    <n v="133.5"/>
    <n v="154.5"/>
    <n v="139.69999999999999"/>
    <n v="162.6"/>
    <n v="148"/>
    <n v="139.1"/>
    <n v="146.69999999999999"/>
    <n v="145.1"/>
    <n v="142.19999999999999"/>
    <n v="142.1"/>
    <n v="125.5"/>
    <n v="136.5"/>
    <n v="147.80000000000001"/>
    <n v="132"/>
    <n v="136.30000000000001"/>
    <n v="140.80000000000001"/>
    <n v="139.69999999999999"/>
    <n v="146.9"/>
    <n v="147.80000000000001"/>
    <n v="145.1"/>
    <n v="142.1"/>
    <n v="125.5"/>
    <n v="139.35"/>
    <n v="136.5"/>
    <n v="162.6"/>
    <n v="139.25"/>
    <n v="142.47999999999999"/>
  </r>
  <r>
    <x v="0"/>
    <x v="5"/>
    <x v="12"/>
    <s v="NA"/>
    <n v="137.1"/>
    <n v="151.9"/>
    <n v="137.4"/>
    <n v="142.4"/>
    <n v="124.2"/>
    <x v="110"/>
    <x v="191"/>
    <n v="120.9"/>
    <n v="109.9"/>
    <n v="140.19999999999999"/>
    <n v="137.80000000000001"/>
    <n v="156"/>
    <n v="138.5"/>
    <n v="162.4"/>
    <n v="151.6"/>
    <n v="145.9"/>
    <n v="150.80000000000001"/>
    <n v="149"/>
    <n v="149.5"/>
    <n v="149.6"/>
    <n v="128.9"/>
    <n v="143.30000000000001"/>
    <n v="155.1"/>
    <n v="133.19999999999999"/>
    <n v="141.6"/>
    <n v="141.9"/>
    <n v="138.5"/>
    <s v="NA"/>
    <n v="155.1"/>
    <n v="149"/>
    <n v="149.6"/>
    <n v="128.9"/>
    <n v="142"/>
    <n v="143.30000000000001"/>
    <n v="162.4"/>
    <n v="145.55000000000001"/>
    <n v="146.03888888888889"/>
  </r>
  <r>
    <x v="1"/>
    <x v="5"/>
    <x v="12"/>
    <n v="146.5"/>
    <n v="138.5"/>
    <n v="147.80000000000001"/>
    <n v="141.1"/>
    <n v="141.6"/>
    <n v="118.1"/>
    <x v="107"/>
    <x v="192"/>
    <n v="117.5"/>
    <n v="111"/>
    <n v="141.5"/>
    <n v="128.1"/>
    <n v="152.9"/>
    <n v="137.6"/>
    <n v="164.6"/>
    <n v="142.69999999999999"/>
    <n v="130.30000000000001"/>
    <n v="140.80000000000001"/>
    <n v="132.4"/>
    <n v="136.19999999999999"/>
    <n v="137.30000000000001"/>
    <n v="118.8"/>
    <n v="131.69999999999999"/>
    <n v="146.5"/>
    <n v="130.80000000000001"/>
    <n v="131.69999999999999"/>
    <n v="138"/>
    <n v="137.6"/>
    <n v="146.5"/>
    <n v="146.5"/>
    <n v="132.4"/>
    <n v="137.30000000000001"/>
    <n v="118.8"/>
    <n v="135.80000000000001"/>
    <n v="131.69999999999999"/>
    <n v="164.6"/>
    <n v="133.94999999999999"/>
    <n v="138.51499999999999"/>
  </r>
  <r>
    <x v="2"/>
    <x v="5"/>
    <x v="12"/>
    <n v="146.5"/>
    <n v="137.5"/>
    <n v="150.5"/>
    <n v="138.80000000000001"/>
    <n v="142.1"/>
    <n v="122"/>
    <x v="135"/>
    <x v="83"/>
    <n v="119.8"/>
    <n v="110.3"/>
    <n v="140.6"/>
    <n v="133.80000000000001"/>
    <n v="154.6"/>
    <n v="138.19999999999999"/>
    <n v="163"/>
    <n v="148.1"/>
    <n v="139.4"/>
    <n v="146.80000000000001"/>
    <n v="142.69999999999999"/>
    <n v="143.19999999999999"/>
    <n v="144.9"/>
    <n v="123.6"/>
    <n v="136.80000000000001"/>
    <n v="150.1"/>
    <n v="132.19999999999999"/>
    <n v="136.80000000000001"/>
    <n v="140.1"/>
    <n v="138.19999999999999"/>
    <n v="146.5"/>
    <n v="150.1"/>
    <n v="142.69999999999999"/>
    <n v="144.9"/>
    <n v="123.6"/>
    <n v="139.5"/>
    <n v="136.80000000000001"/>
    <n v="163"/>
    <n v="140"/>
    <n v="142.53"/>
  </r>
  <r>
    <x v="0"/>
    <x v="6"/>
    <x v="0"/>
    <s v="NA"/>
    <n v="136.6"/>
    <n v="152.5"/>
    <n v="138.19999999999999"/>
    <n v="142.4"/>
    <n v="123.9"/>
    <x v="105"/>
    <x v="193"/>
    <n v="121.3"/>
    <n v="108.4"/>
    <n v="138.9"/>
    <n v="137"/>
    <n v="155.80000000000001"/>
    <n v="137.4"/>
    <n v="162.69999999999999"/>
    <n v="150.6"/>
    <n v="145.1"/>
    <n v="149.9"/>
    <n v="146.19999999999999"/>
    <n v="150.1"/>
    <n v="149.6"/>
    <n v="128.6"/>
    <n v="142.9"/>
    <n v="155.19999999999999"/>
    <n v="133.5"/>
    <n v="141.69999999999999"/>
    <n v="141"/>
    <n v="137.4"/>
    <s v="NA"/>
    <n v="155.19999999999999"/>
    <n v="146.19999999999999"/>
    <n v="149.6"/>
    <n v="128.6"/>
    <n v="141.69999999999999"/>
    <n v="142.9"/>
    <n v="162.69999999999999"/>
    <n v="145.89999999999998"/>
    <n v="145.57777777777775"/>
  </r>
  <r>
    <x v="1"/>
    <x v="6"/>
    <x v="0"/>
    <n v="147.69999999999999"/>
    <n v="138.30000000000001"/>
    <n v="149.4"/>
    <n v="143.5"/>
    <n v="141.69999999999999"/>
    <n v="118.1"/>
    <x v="130"/>
    <x v="194"/>
    <n v="118.2"/>
    <n v="110.4"/>
    <n v="140.4"/>
    <n v="128.1"/>
    <n v="153.19999999999999"/>
    <n v="137.30000000000001"/>
    <n v="164.7"/>
    <n v="143"/>
    <n v="130.4"/>
    <n v="141.1"/>
    <n v="128.6"/>
    <n v="136.30000000000001"/>
    <n v="137.80000000000001"/>
    <n v="118.6"/>
    <n v="131.9"/>
    <n v="146.6"/>
    <n v="131.69999999999999"/>
    <n v="131.80000000000001"/>
    <n v="138"/>
    <n v="137.30000000000001"/>
    <n v="147.69999999999999"/>
    <n v="146.6"/>
    <n v="128.6"/>
    <n v="137.80000000000001"/>
    <n v="118.6"/>
    <n v="136.39999999999998"/>
    <n v="131.9"/>
    <n v="164.7"/>
    <n v="134.05000000000001"/>
    <n v="138.36500000000001"/>
  </r>
  <r>
    <x v="2"/>
    <x v="6"/>
    <x v="0"/>
    <n v="147.69999999999999"/>
    <n v="137.1"/>
    <n v="151.4"/>
    <n v="140.19999999999999"/>
    <n v="142.1"/>
    <n v="121.8"/>
    <x v="177"/>
    <x v="195"/>
    <n v="120.3"/>
    <n v="109.1"/>
    <n v="139.4"/>
    <n v="133.30000000000001"/>
    <n v="154.6"/>
    <n v="137.4"/>
    <n v="163.19999999999999"/>
    <n v="147.6"/>
    <n v="139"/>
    <n v="146.4"/>
    <n v="139.5"/>
    <n v="143.6"/>
    <n v="145.1"/>
    <n v="123.3"/>
    <n v="136.69999999999999"/>
    <n v="150.19999999999999"/>
    <n v="132.80000000000001"/>
    <n v="136.9"/>
    <n v="139.6"/>
    <n v="137.4"/>
    <n v="147.69999999999999"/>
    <n v="150.19999999999999"/>
    <n v="139.5"/>
    <n v="145.1"/>
    <n v="123.3"/>
    <n v="139.60000000000002"/>
    <n v="136.69999999999999"/>
    <n v="163.19999999999999"/>
    <n v="140.25"/>
    <n v="142.29500000000002"/>
  </r>
  <r>
    <x v="0"/>
    <x v="6"/>
    <x v="1"/>
    <s v="NA"/>
    <n v="136.80000000000001"/>
    <n v="153"/>
    <n v="139.1"/>
    <n v="142.5"/>
    <n v="124.1"/>
    <x v="111"/>
    <x v="196"/>
    <n v="121.5"/>
    <n v="108.3"/>
    <n v="139.19999999999999"/>
    <n v="137.4"/>
    <n v="156.19999999999999"/>
    <n v="137.19999999999999"/>
    <n v="162.80000000000001"/>
    <n v="150.5"/>
    <n v="146.1"/>
    <n v="149.9"/>
    <n v="145.30000000000001"/>
    <n v="150.1"/>
    <n v="149.9"/>
    <n v="129.19999999999999"/>
    <n v="143.4"/>
    <n v="155.5"/>
    <n v="134.9"/>
    <n v="142.19999999999999"/>
    <n v="141"/>
    <n v="137.19999999999999"/>
    <s v="NA"/>
    <n v="155.5"/>
    <n v="145.30000000000001"/>
    <n v="149.9"/>
    <n v="129.19999999999999"/>
    <n v="142.4"/>
    <n v="143.4"/>
    <n v="162.80000000000001"/>
    <n v="146.14999999999998"/>
    <n v="145.76111111111109"/>
  </r>
  <r>
    <x v="1"/>
    <x v="6"/>
    <x v="1"/>
    <n v="148.5"/>
    <n v="139.4"/>
    <n v="150.1"/>
    <n v="145.30000000000001"/>
    <n v="141.69999999999999"/>
    <n v="118.4"/>
    <x v="108"/>
    <x v="197"/>
    <n v="119.9"/>
    <n v="110.4"/>
    <n v="140.80000000000001"/>
    <n v="128.30000000000001"/>
    <n v="153.5"/>
    <n v="138"/>
    <n v="164.9"/>
    <n v="143.30000000000001"/>
    <n v="130.80000000000001"/>
    <n v="141.4"/>
    <n v="127.1"/>
    <n v="136.6"/>
    <n v="138.5"/>
    <n v="119.2"/>
    <n v="132.19999999999999"/>
    <n v="146.6"/>
    <n v="133"/>
    <n v="132.4"/>
    <n v="138.6"/>
    <n v="138"/>
    <n v="148.5"/>
    <n v="146.6"/>
    <n v="127.1"/>
    <n v="138.5"/>
    <n v="119.2"/>
    <n v="137.19999999999999"/>
    <n v="132.19999999999999"/>
    <n v="164.9"/>
    <n v="134.5"/>
    <n v="138.67000000000002"/>
  </r>
  <r>
    <x v="2"/>
    <x v="6"/>
    <x v="1"/>
    <n v="148.5"/>
    <n v="137.6"/>
    <n v="152"/>
    <n v="141.5"/>
    <n v="142.19999999999999"/>
    <n v="122"/>
    <x v="145"/>
    <x v="198"/>
    <n v="121"/>
    <n v="109"/>
    <n v="139.69999999999999"/>
    <n v="133.6"/>
    <n v="154.9"/>
    <n v="137.5"/>
    <n v="163.4"/>
    <n v="147.69999999999999"/>
    <n v="139.69999999999999"/>
    <n v="146.5"/>
    <n v="138.4"/>
    <n v="143.69999999999999"/>
    <n v="145.6"/>
    <n v="123.9"/>
    <n v="137.1"/>
    <n v="150.30000000000001"/>
    <n v="134.1"/>
    <n v="137.4"/>
    <n v="139.9"/>
    <n v="137.5"/>
    <n v="148.5"/>
    <n v="150.30000000000001"/>
    <n v="138.4"/>
    <n v="145.6"/>
    <n v="123.9"/>
    <n v="140.30000000000001"/>
    <n v="137.1"/>
    <n v="163.4"/>
    <n v="140.55000000000001"/>
    <n v="142.55500000000001"/>
  </r>
  <r>
    <x v="0"/>
    <x v="6"/>
    <x v="2"/>
    <s v="NA"/>
    <n v="136.9"/>
    <n v="154.1"/>
    <n v="138.69999999999999"/>
    <n v="142.5"/>
    <n v="124.1"/>
    <x v="113"/>
    <x v="72"/>
    <n v="122.3"/>
    <n v="108.3"/>
    <n v="138.9"/>
    <n v="137.4"/>
    <n v="156.4"/>
    <n v="137.30000000000001"/>
    <n v="162.9"/>
    <n v="150.80000000000001"/>
    <n v="146.1"/>
    <n v="150.1"/>
    <n v="146.4"/>
    <n v="150"/>
    <n v="150.4"/>
    <n v="129.9"/>
    <n v="143.80000000000001"/>
    <n v="155.5"/>
    <n v="134"/>
    <n v="142.4"/>
    <n v="141.19999999999999"/>
    <n v="137.30000000000001"/>
    <s v="NA"/>
    <n v="155.5"/>
    <n v="146.4"/>
    <n v="150.4"/>
    <n v="129.9"/>
    <n v="142.05000000000001"/>
    <n v="143.80000000000001"/>
    <n v="162.9"/>
    <n v="146.19999999999999"/>
    <n v="146.05000000000001"/>
  </r>
  <r>
    <x v="1"/>
    <x v="6"/>
    <x v="2"/>
    <n v="149"/>
    <n v="139.69999999999999"/>
    <n v="151.1"/>
    <n v="142.9"/>
    <n v="141.9"/>
    <n v="118.4"/>
    <x v="135"/>
    <x v="199"/>
    <n v="120.7"/>
    <n v="110.4"/>
    <n v="140.69999999999999"/>
    <n v="128.5"/>
    <n v="153.9"/>
    <n v="139.6"/>
    <n v="165.3"/>
    <n v="143.5"/>
    <n v="131.19999999999999"/>
    <n v="141.6"/>
    <n v="128.80000000000001"/>
    <n v="136.80000000000001"/>
    <n v="139.19999999999999"/>
    <n v="119.9"/>
    <n v="133"/>
    <n v="146.69999999999999"/>
    <n v="132.5"/>
    <n v="132.80000000000001"/>
    <n v="139.5"/>
    <n v="139.6"/>
    <n v="149"/>
    <n v="146.69999999999999"/>
    <n v="128.80000000000001"/>
    <n v="139.19999999999999"/>
    <n v="119.9"/>
    <n v="137.05000000000001"/>
    <n v="133"/>
    <n v="165.3"/>
    <n v="134.80000000000001"/>
    <n v="139.33499999999998"/>
  </r>
  <r>
    <x v="2"/>
    <x v="6"/>
    <x v="2"/>
    <n v="149"/>
    <n v="137.80000000000001"/>
    <n v="153"/>
    <n v="140.30000000000001"/>
    <n v="142.30000000000001"/>
    <n v="122"/>
    <x v="178"/>
    <x v="174"/>
    <n v="121.8"/>
    <n v="109"/>
    <n v="139.5"/>
    <n v="133.69999999999999"/>
    <n v="155.19999999999999"/>
    <n v="138.1"/>
    <n v="163.5"/>
    <n v="147.9"/>
    <n v="139.9"/>
    <n v="146.69999999999999"/>
    <n v="139.69999999999999"/>
    <n v="143.80000000000001"/>
    <n v="146.19999999999999"/>
    <n v="124.6"/>
    <n v="137.69999999999999"/>
    <n v="150.30000000000001"/>
    <n v="133.4"/>
    <n v="137.69999999999999"/>
    <n v="140.4"/>
    <n v="138.1"/>
    <n v="149"/>
    <n v="150.30000000000001"/>
    <n v="139.69999999999999"/>
    <n v="146.19999999999999"/>
    <n v="124.6"/>
    <n v="140.05000000000001"/>
    <n v="137.69999999999999"/>
    <n v="163.5"/>
    <n v="140.75"/>
    <n v="142.99"/>
  </r>
  <r>
    <x v="0"/>
    <x v="6"/>
    <x v="4"/>
    <s v="NA"/>
    <n v="137.4"/>
    <n v="159.5"/>
    <n v="134.5"/>
    <n v="142.6"/>
    <n v="124"/>
    <x v="179"/>
    <x v="200"/>
    <n v="125.1"/>
    <n v="109.3"/>
    <n v="139.30000000000001"/>
    <n v="137.69999999999999"/>
    <n v="156.4"/>
    <n v="139.19999999999999"/>
    <n v="163.30000000000001"/>
    <n v="151.30000000000001"/>
    <n v="146.6"/>
    <n v="150.69999999999999"/>
    <n v="146.9"/>
    <n v="149.5"/>
    <n v="151.30000000000001"/>
    <n v="130.19999999999999"/>
    <n v="145.9"/>
    <n v="156.69999999999999"/>
    <n v="133.9"/>
    <n v="142.9"/>
    <n v="142.4"/>
    <n v="139.19999999999999"/>
    <s v="NA"/>
    <n v="156.69999999999999"/>
    <n v="146.9"/>
    <n v="151.30000000000001"/>
    <n v="130.19999999999999"/>
    <n v="142.30000000000001"/>
    <n v="145.9"/>
    <n v="163.30000000000001"/>
    <n v="146.19999999999999"/>
    <n v="146.88888888888889"/>
  </r>
  <r>
    <x v="1"/>
    <x v="6"/>
    <x v="4"/>
    <n v="150.1"/>
    <n v="140.4"/>
    <n v="156.69999999999999"/>
    <n v="138.30000000000001"/>
    <n v="142.4"/>
    <n v="118.6"/>
    <x v="166"/>
    <x v="201"/>
    <n v="124.4"/>
    <n v="111.2"/>
    <n v="141"/>
    <n v="128.9"/>
    <n v="154.5"/>
    <n v="143.80000000000001"/>
    <n v="166.2"/>
    <n v="144"/>
    <n v="131.69999999999999"/>
    <n v="142.19999999999999"/>
    <n v="129.4"/>
    <n v="137.19999999999999"/>
    <n v="139.80000000000001"/>
    <n v="120.1"/>
    <n v="134"/>
    <n v="148"/>
    <n v="132.6"/>
    <n v="133.30000000000001"/>
    <n v="141.5"/>
    <n v="143.80000000000001"/>
    <n v="150.1"/>
    <n v="148"/>
    <n v="129.4"/>
    <n v="139.80000000000001"/>
    <n v="120.1"/>
    <n v="137.39999999999998"/>
    <n v="134"/>
    <n v="166.2"/>
    <n v="135.25"/>
    <n v="140.405"/>
  </r>
  <r>
    <x v="2"/>
    <x v="6"/>
    <x v="4"/>
    <n v="150.1"/>
    <n v="138.30000000000001"/>
    <n v="158.5"/>
    <n v="136"/>
    <n v="142.5"/>
    <n v="122"/>
    <x v="180"/>
    <x v="202"/>
    <n v="124.9"/>
    <n v="109.9"/>
    <n v="139.9"/>
    <n v="134"/>
    <n v="155.5"/>
    <n v="140.9"/>
    <n v="164.1"/>
    <n v="148.4"/>
    <n v="140.4"/>
    <n v="147.30000000000001"/>
    <n v="140.30000000000001"/>
    <n v="143.69999999999999"/>
    <n v="146.9"/>
    <n v="124.9"/>
    <n v="139.19999999999999"/>
    <n v="151.6"/>
    <n v="133.4"/>
    <n v="138.19999999999999"/>
    <n v="142"/>
    <n v="140.9"/>
    <n v="150.1"/>
    <n v="151.6"/>
    <n v="140.30000000000001"/>
    <n v="146.9"/>
    <n v="124.9"/>
    <n v="140.35000000000002"/>
    <n v="139.19999999999999"/>
    <n v="164.1"/>
    <n v="140.94999999999999"/>
    <n v="143.93"/>
  </r>
  <r>
    <x v="0"/>
    <x v="6"/>
    <x v="5"/>
    <s v="NA"/>
    <n v="137.80000000000001"/>
    <n v="163.5"/>
    <n v="136.19999999999999"/>
    <n v="143.19999999999999"/>
    <n v="124.3"/>
    <x v="181"/>
    <x v="203"/>
    <n v="128.69999999999999"/>
    <n v="110.6"/>
    <n v="140.4"/>
    <n v="138"/>
    <n v="156.6"/>
    <n v="141"/>
    <n v="164.2"/>
    <n v="151.4"/>
    <n v="146.5"/>
    <n v="150.69999999999999"/>
    <n v="147.80000000000001"/>
    <n v="149.6"/>
    <n v="151.69999999999999"/>
    <n v="130.19999999999999"/>
    <n v="146.4"/>
    <n v="157.69999999999999"/>
    <n v="134.80000000000001"/>
    <n v="143.30000000000001"/>
    <n v="143.6"/>
    <n v="141"/>
    <s v="NA"/>
    <n v="157.69999999999999"/>
    <n v="147.80000000000001"/>
    <n v="151.69999999999999"/>
    <n v="130.19999999999999"/>
    <n v="142.75"/>
    <n v="146.4"/>
    <n v="164.2"/>
    <n v="146.44999999999999"/>
    <n v="147.57777777777778"/>
  </r>
  <r>
    <x v="1"/>
    <x v="6"/>
    <x v="5"/>
    <n v="149.4"/>
    <n v="140.69999999999999"/>
    <n v="159.6"/>
    <n v="140.4"/>
    <n v="143.4"/>
    <n v="118.6"/>
    <x v="182"/>
    <x v="204"/>
    <n v="127.4"/>
    <n v="111.8"/>
    <n v="141"/>
    <n v="129"/>
    <n v="155.1"/>
    <n v="145.6"/>
    <n v="166.7"/>
    <n v="144.30000000000001"/>
    <n v="131.69999999999999"/>
    <n v="142.4"/>
    <n v="130.5"/>
    <n v="137.4"/>
    <n v="140.30000000000001"/>
    <n v="119.6"/>
    <n v="134.30000000000001"/>
    <n v="148.9"/>
    <n v="133.69999999999999"/>
    <n v="133.6"/>
    <n v="142.1"/>
    <n v="145.6"/>
    <n v="149.4"/>
    <n v="148.9"/>
    <n v="130.5"/>
    <n v="140.30000000000001"/>
    <n v="119.6"/>
    <n v="138.05000000000001"/>
    <n v="134.30000000000001"/>
    <n v="166.7"/>
    <n v="135.5"/>
    <n v="140.88500000000002"/>
  </r>
  <r>
    <x v="2"/>
    <x v="6"/>
    <x v="5"/>
    <n v="149.4"/>
    <n v="138.69999999999999"/>
    <n v="162.1"/>
    <n v="137.80000000000001"/>
    <n v="143.30000000000001"/>
    <n v="122.2"/>
    <x v="183"/>
    <x v="166"/>
    <n v="128.30000000000001"/>
    <n v="111"/>
    <n v="140.6"/>
    <n v="134.19999999999999"/>
    <n v="155.9"/>
    <n v="142.69999999999999"/>
    <n v="164.9"/>
    <n v="148.6"/>
    <n v="140.4"/>
    <n v="147.4"/>
    <n v="141.19999999999999"/>
    <n v="143.80000000000001"/>
    <n v="147.4"/>
    <n v="124.6"/>
    <n v="139.6"/>
    <n v="152.5"/>
    <n v="134.30000000000001"/>
    <n v="138.6"/>
    <n v="142.9"/>
    <n v="142.69999999999999"/>
    <n v="149.4"/>
    <n v="152.5"/>
    <n v="141.19999999999999"/>
    <n v="147.4"/>
    <n v="124.6"/>
    <n v="140.85000000000002"/>
    <n v="139.6"/>
    <n v="164.9"/>
    <n v="141.19999999999999"/>
    <n v="144.435"/>
  </r>
  <r>
    <x v="0"/>
    <x v="6"/>
    <x v="6"/>
    <s v="NA"/>
    <n v="138.4"/>
    <n v="164"/>
    <n v="138.4"/>
    <n v="143.9"/>
    <n v="124.4"/>
    <x v="184"/>
    <x v="51"/>
    <n v="130.6"/>
    <n v="110.8"/>
    <n v="141.69999999999999"/>
    <n v="138.5"/>
    <n v="156.69999999999999"/>
    <n v="143"/>
    <n v="164.5"/>
    <n v="151.6"/>
    <n v="146.6"/>
    <n v="150.9"/>
    <n v="146.80000000000001"/>
    <n v="150"/>
    <n v="152.19999999999999"/>
    <n v="131.19999999999999"/>
    <n v="147.5"/>
    <n v="159.1"/>
    <n v="136.1"/>
    <n v="144.19999999999999"/>
    <n v="144.9"/>
    <n v="143"/>
    <s v="NA"/>
    <n v="159.1"/>
    <n v="146.80000000000001"/>
    <n v="152.19999999999999"/>
    <n v="131.19999999999999"/>
    <n v="143.5"/>
    <n v="147.5"/>
    <n v="164.5"/>
    <n v="147.1"/>
    <n v="148.32222222222219"/>
  </r>
  <r>
    <x v="1"/>
    <x v="6"/>
    <x v="6"/>
    <n v="150.6"/>
    <n v="141.4"/>
    <n v="160.19999999999999"/>
    <n v="142.5"/>
    <n v="144.1"/>
    <n v="119.3"/>
    <x v="185"/>
    <x v="205"/>
    <n v="128.9"/>
    <n v="111.8"/>
    <n v="141.6"/>
    <n v="129.5"/>
    <n v="155.6"/>
    <n v="147.69999999999999"/>
    <n v="167.2"/>
    <n v="144.69999999999999"/>
    <n v="131.9"/>
    <n v="142.69999999999999"/>
    <n v="127"/>
    <n v="137.69999999999999"/>
    <n v="140.80000000000001"/>
    <n v="120.6"/>
    <n v="135"/>
    <n v="150.4"/>
    <n v="135.1"/>
    <n v="134.5"/>
    <n v="143.30000000000001"/>
    <n v="147.69999999999999"/>
    <n v="150.6"/>
    <n v="150.4"/>
    <n v="127"/>
    <n v="140.80000000000001"/>
    <n v="120.6"/>
    <n v="138.89999999999998"/>
    <n v="135"/>
    <n v="167.2"/>
    <n v="136.1"/>
    <n v="141.43"/>
  </r>
  <r>
    <x v="2"/>
    <x v="6"/>
    <x v="6"/>
    <n v="150.6"/>
    <n v="139.30000000000001"/>
    <n v="162.69999999999999"/>
    <n v="140"/>
    <n v="144"/>
    <n v="122.5"/>
    <x v="186"/>
    <x v="206"/>
    <n v="130"/>
    <n v="111.1"/>
    <n v="141.69999999999999"/>
    <n v="134.69999999999999"/>
    <n v="156.19999999999999"/>
    <n v="144.69999999999999"/>
    <n v="165.2"/>
    <n v="148.9"/>
    <n v="140.5"/>
    <n v="147.6"/>
    <n v="139.30000000000001"/>
    <n v="144.19999999999999"/>
    <n v="147.9"/>
    <n v="125.6"/>
    <n v="140.5"/>
    <n v="154"/>
    <n v="135.69999999999999"/>
    <n v="139.5"/>
    <n v="144.19999999999999"/>
    <n v="144.69999999999999"/>
    <n v="150.6"/>
    <n v="154"/>
    <n v="139.30000000000001"/>
    <n v="147.9"/>
    <n v="125.6"/>
    <n v="141.64999999999998"/>
    <n v="140.5"/>
    <n v="165.2"/>
    <n v="141.85"/>
    <n v="145.13"/>
  </r>
  <r>
    <x v="0"/>
    <x v="6"/>
    <x v="7"/>
    <s v="NA"/>
    <n v="139.19999999999999"/>
    <n v="161.9"/>
    <n v="137.1"/>
    <n v="144.6"/>
    <n v="124.7"/>
    <x v="138"/>
    <x v="207"/>
    <n v="131.5"/>
    <n v="111.7"/>
    <n v="142.69999999999999"/>
    <n v="138.5"/>
    <n v="156.9"/>
    <n v="144"/>
    <n v="165.1"/>
    <n v="151.80000000000001"/>
    <n v="146.6"/>
    <n v="151.1"/>
    <n v="146.4"/>
    <n v="150.19999999999999"/>
    <n v="152.69999999999999"/>
    <n v="131.4"/>
    <n v="148"/>
    <n v="159.69999999999999"/>
    <n v="138.80000000000001"/>
    <n v="144.9"/>
    <n v="145.69999999999999"/>
    <n v="144"/>
    <s v="NA"/>
    <n v="159.69999999999999"/>
    <n v="146.4"/>
    <n v="152.69999999999999"/>
    <n v="131.4"/>
    <n v="144.94999999999999"/>
    <n v="148"/>
    <n v="165.1"/>
    <n v="147.55000000000001"/>
    <n v="148.86666666666665"/>
  </r>
  <r>
    <x v="1"/>
    <x v="6"/>
    <x v="7"/>
    <n v="151.6"/>
    <n v="142.1"/>
    <n v="158.30000000000001"/>
    <n v="140.80000000000001"/>
    <n v="144.9"/>
    <n v="119.9"/>
    <x v="187"/>
    <x v="208"/>
    <n v="129.80000000000001"/>
    <n v="112.7"/>
    <n v="142.5"/>
    <n v="129.80000000000001"/>
    <n v="156.19999999999999"/>
    <n v="149.1"/>
    <n v="167.9"/>
    <n v="145"/>
    <n v="132.19999999999999"/>
    <n v="143"/>
    <n v="125.5"/>
    <n v="138.1"/>
    <n v="141.5"/>
    <n v="120.8"/>
    <n v="135.4"/>
    <n v="151.5"/>
    <n v="137.80000000000001"/>
    <n v="135.30000000000001"/>
    <n v="144.19999999999999"/>
    <n v="149.1"/>
    <n v="151.6"/>
    <n v="151.5"/>
    <n v="125.5"/>
    <n v="141.5"/>
    <n v="120.8"/>
    <n v="140.4"/>
    <n v="135.4"/>
    <n v="167.9"/>
    <n v="136.69999999999999"/>
    <n v="142.04000000000002"/>
  </r>
  <r>
    <x v="2"/>
    <x v="6"/>
    <x v="7"/>
    <n v="151.6"/>
    <n v="140.1"/>
    <n v="160.6"/>
    <n v="138.5"/>
    <n v="144.69999999999999"/>
    <n v="122.9"/>
    <x v="152"/>
    <x v="209"/>
    <n v="130.9"/>
    <n v="112"/>
    <n v="142.6"/>
    <n v="134.9"/>
    <n v="156.6"/>
    <n v="145.9"/>
    <n v="165.8"/>
    <n v="149.1"/>
    <n v="140.6"/>
    <n v="147.9"/>
    <n v="138.5"/>
    <n v="144.5"/>
    <n v="148.5"/>
    <n v="125.8"/>
    <n v="140.9"/>
    <n v="154.9"/>
    <n v="138.4"/>
    <n v="140.19999999999999"/>
    <n v="145"/>
    <n v="145.9"/>
    <n v="151.6"/>
    <n v="154.9"/>
    <n v="138.5"/>
    <n v="148.5"/>
    <n v="125.8"/>
    <n v="143.15"/>
    <n v="140.9"/>
    <n v="165.8"/>
    <n v="142.35"/>
    <n v="145.73999999999998"/>
  </r>
  <r>
    <x v="0"/>
    <x v="6"/>
    <x v="8"/>
    <s v="NA"/>
    <n v="140.1"/>
    <n v="161.9"/>
    <n v="138.30000000000001"/>
    <n v="145.69999999999999"/>
    <n v="125.1"/>
    <x v="188"/>
    <x v="210"/>
    <n v="132.19999999999999"/>
    <n v="112.8"/>
    <n v="144.19999999999999"/>
    <n v="138.5"/>
    <n v="157.19999999999999"/>
    <n v="145.5"/>
    <n v="165.7"/>
    <n v="151.69999999999999"/>
    <n v="146.6"/>
    <n v="151"/>
    <n v="146.9"/>
    <n v="150.30000000000001"/>
    <n v="153.4"/>
    <n v="131.6"/>
    <n v="148.30000000000001"/>
    <n v="160.19999999999999"/>
    <n v="140.19999999999999"/>
    <n v="145.4"/>
    <n v="146.69999999999999"/>
    <n v="145.5"/>
    <s v="NA"/>
    <n v="160.19999999999999"/>
    <n v="146.9"/>
    <n v="153.4"/>
    <n v="131.6"/>
    <n v="145.6"/>
    <n v="148.30000000000001"/>
    <n v="165.7"/>
    <n v="147.85000000000002"/>
    <n v="149.45000000000002"/>
  </r>
  <r>
    <x v="1"/>
    <x v="6"/>
    <x v="8"/>
    <n v="152.19999999999999"/>
    <n v="142.69999999999999"/>
    <n v="158.69999999999999"/>
    <n v="141.6"/>
    <n v="144.9"/>
    <n v="120.8"/>
    <x v="189"/>
    <x v="211"/>
    <n v="130.30000000000001"/>
    <n v="114"/>
    <n v="143.80000000000001"/>
    <n v="130"/>
    <n v="156.4"/>
    <n v="149.5"/>
    <n v="168.6"/>
    <n v="145.30000000000001"/>
    <n v="132.19999999999999"/>
    <n v="143.30000000000001"/>
    <n v="126.6"/>
    <n v="138.30000000000001"/>
    <n v="141.9"/>
    <n v="121.2"/>
    <n v="135.9"/>
    <n v="151.6"/>
    <n v="139"/>
    <n v="135.69999999999999"/>
    <n v="144.69999999999999"/>
    <n v="149.5"/>
    <n v="152.19999999999999"/>
    <n v="151.6"/>
    <n v="126.6"/>
    <n v="141.9"/>
    <n v="121.2"/>
    <n v="141.15"/>
    <n v="135.9"/>
    <n v="168.6"/>
    <n v="137"/>
    <n v="142.565"/>
  </r>
  <r>
    <x v="2"/>
    <x v="6"/>
    <x v="8"/>
    <n v="152.19999999999999"/>
    <n v="140.9"/>
    <n v="160.80000000000001"/>
    <n v="139.6"/>
    <n v="145.4"/>
    <n v="123.5"/>
    <x v="190"/>
    <x v="157"/>
    <n v="131.6"/>
    <n v="113.2"/>
    <n v="144.1"/>
    <n v="135"/>
    <n v="156.80000000000001"/>
    <n v="147"/>
    <n v="166.5"/>
    <n v="149.19999999999999"/>
    <n v="140.6"/>
    <n v="147.9"/>
    <n v="139.19999999999999"/>
    <n v="144.6"/>
    <n v="149"/>
    <n v="126.1"/>
    <n v="141.30000000000001"/>
    <n v="155.19999999999999"/>
    <n v="139.69999999999999"/>
    <n v="140.69999999999999"/>
    <n v="145.80000000000001"/>
    <n v="147"/>
    <n v="152.19999999999999"/>
    <n v="155.19999999999999"/>
    <n v="139.19999999999999"/>
    <n v="149"/>
    <n v="126.1"/>
    <n v="143.80000000000001"/>
    <n v="141.30000000000001"/>
    <n v="166.5"/>
    <n v="142.64999999999998"/>
    <n v="146.29499999999999"/>
  </r>
  <r>
    <x v="0"/>
    <x v="6"/>
    <x v="9"/>
    <s v="NA"/>
    <n v="141"/>
    <n v="161.6"/>
    <n v="141.19999999999999"/>
    <n v="146.5"/>
    <n v="125.6"/>
    <x v="191"/>
    <x v="212"/>
    <n v="133.1"/>
    <n v="113.6"/>
    <n v="145.5"/>
    <n v="138.6"/>
    <n v="157.4"/>
    <n v="148.30000000000001"/>
    <n v="166.3"/>
    <n v="151.69999999999999"/>
    <n v="146.69999999999999"/>
    <n v="151"/>
    <n v="147.69999999999999"/>
    <n v="150.6"/>
    <n v="153.69999999999999"/>
    <n v="131.69999999999999"/>
    <n v="148.69999999999999"/>
    <n v="160.69999999999999"/>
    <n v="140.30000000000001"/>
    <n v="145.69999999999999"/>
    <n v="148.30000000000001"/>
    <n v="148.30000000000001"/>
    <s v="NA"/>
    <n v="160.69999999999999"/>
    <n v="147.69999999999999"/>
    <n v="153.69999999999999"/>
    <n v="131.69999999999999"/>
    <n v="145.65"/>
    <n v="148.69999999999999"/>
    <n v="166.3"/>
    <n v="148.14999999999998"/>
    <n v="150.09999999999997"/>
  </r>
  <r>
    <x v="1"/>
    <x v="6"/>
    <x v="9"/>
    <n v="153"/>
    <n v="143.5"/>
    <n v="159.80000000000001"/>
    <n v="144.69999999999999"/>
    <n v="145.6"/>
    <n v="121.1"/>
    <x v="170"/>
    <x v="213"/>
    <n v="131.19999999999999"/>
    <n v="114.8"/>
    <n v="145.19999999999999"/>
    <n v="130.19999999999999"/>
    <n v="156.80000000000001"/>
    <n v="151.9"/>
    <n v="169.3"/>
    <n v="145.9"/>
    <n v="132.4"/>
    <n v="143.9"/>
    <n v="128.9"/>
    <n v="138.69999999999999"/>
    <n v="142.4"/>
    <n v="121.5"/>
    <n v="136.19999999999999"/>
    <n v="151.69999999999999"/>
    <n v="139.5"/>
    <n v="136"/>
    <n v="146"/>
    <n v="151.9"/>
    <n v="153"/>
    <n v="151.69999999999999"/>
    <n v="128.9"/>
    <n v="142.4"/>
    <n v="121.5"/>
    <n v="141.69999999999999"/>
    <n v="136.19999999999999"/>
    <n v="169.3"/>
    <n v="137.35"/>
    <n v="143.39499999999998"/>
  </r>
  <r>
    <x v="2"/>
    <x v="6"/>
    <x v="9"/>
    <n v="153"/>
    <n v="141.80000000000001"/>
    <n v="161"/>
    <n v="142.6"/>
    <n v="146.19999999999999"/>
    <n v="123.9"/>
    <x v="136"/>
    <x v="214"/>
    <n v="132.5"/>
    <n v="114"/>
    <n v="145.4"/>
    <n v="135.1"/>
    <n v="157.1"/>
    <n v="149.6"/>
    <n v="167.1"/>
    <n v="149.4"/>
    <n v="140.80000000000001"/>
    <n v="148.19999999999999"/>
    <n v="140.6"/>
    <n v="145"/>
    <n v="149.4"/>
    <n v="126.3"/>
    <n v="141.69999999999999"/>
    <n v="155.4"/>
    <n v="140"/>
    <n v="141"/>
    <n v="147.19999999999999"/>
    <n v="149.6"/>
    <n v="153"/>
    <n v="155.4"/>
    <n v="140.6"/>
    <n v="149.4"/>
    <n v="126.3"/>
    <n v="144.1"/>
    <n v="141.69999999999999"/>
    <n v="167.1"/>
    <n v="143"/>
    <n v="147.01999999999998"/>
  </r>
  <r>
    <x v="0"/>
    <x v="6"/>
    <x v="11"/>
    <s v="NA"/>
    <n v="141.80000000000001"/>
    <n v="163.69999999999999"/>
    <n v="143.80000000000001"/>
    <n v="147.1"/>
    <n v="126"/>
    <x v="155"/>
    <x v="215"/>
    <n v="136.19999999999999"/>
    <n v="113.8"/>
    <n v="147.30000000000001"/>
    <n v="138.69999999999999"/>
    <n v="157.69999999999999"/>
    <n v="150.9"/>
    <n v="167.2"/>
    <n v="152.30000000000001"/>
    <n v="147"/>
    <n v="151.5"/>
    <n v="148.4"/>
    <n v="150.9"/>
    <n v="154.30000000000001"/>
    <n v="132.1"/>
    <n v="149.1"/>
    <n v="160.80000000000001"/>
    <n v="140.6"/>
    <n v="146.1"/>
    <n v="149.9"/>
    <n v="150.9"/>
    <s v="NA"/>
    <n v="160.80000000000001"/>
    <n v="148.4"/>
    <n v="154.30000000000001"/>
    <n v="132.1"/>
    <n v="146.05000000000001"/>
    <n v="149.1"/>
    <n v="167.2"/>
    <n v="148.5"/>
    <n v="150.81666666666669"/>
  </r>
  <r>
    <x v="1"/>
    <x v="6"/>
    <x v="11"/>
    <n v="153.5"/>
    <n v="144.1"/>
    <n v="162.4"/>
    <n v="148.4"/>
    <n v="145.9"/>
    <n v="121.5"/>
    <x v="192"/>
    <x v="216"/>
    <n v="134.6"/>
    <n v="115"/>
    <n v="146.30000000000001"/>
    <n v="130.5"/>
    <n v="157.19999999999999"/>
    <n v="153.6"/>
    <n v="169.9"/>
    <n v="146.30000000000001"/>
    <n v="132.6"/>
    <n v="144.19999999999999"/>
    <n v="132.19999999999999"/>
    <n v="139.1"/>
    <n v="142.80000000000001"/>
    <n v="121.7"/>
    <n v="136.69999999999999"/>
    <n v="151.80000000000001"/>
    <n v="139.80000000000001"/>
    <n v="136.30000000000001"/>
    <n v="147"/>
    <n v="153.6"/>
    <n v="153.5"/>
    <n v="151.80000000000001"/>
    <n v="132.19999999999999"/>
    <n v="142.80000000000001"/>
    <n v="121.7"/>
    <n v="142"/>
    <n v="136.69999999999999"/>
    <n v="169.9"/>
    <n v="137.69999999999999"/>
    <n v="144.19000000000003"/>
  </r>
  <r>
    <x v="2"/>
    <x v="6"/>
    <x v="11"/>
    <n v="153.5"/>
    <n v="142.5"/>
    <n v="163.19999999999999"/>
    <n v="145.6"/>
    <n v="146.69999999999999"/>
    <n v="124.3"/>
    <x v="193"/>
    <x v="217"/>
    <n v="135.69999999999999"/>
    <n v="114.2"/>
    <n v="147"/>
    <n v="135.30000000000001"/>
    <n v="157.5"/>
    <n v="151.9"/>
    <n v="167.9"/>
    <n v="149.9"/>
    <n v="141"/>
    <n v="148.6"/>
    <n v="142.30000000000001"/>
    <n v="145.30000000000001"/>
    <n v="149.9"/>
    <n v="126.6"/>
    <n v="142.1"/>
    <n v="155.5"/>
    <n v="140.30000000000001"/>
    <n v="141.30000000000001"/>
    <n v="148.6"/>
    <n v="151.9"/>
    <n v="153.5"/>
    <n v="155.5"/>
    <n v="142.30000000000001"/>
    <n v="149.9"/>
    <n v="126.6"/>
    <n v="144.44999999999999"/>
    <n v="142.1"/>
    <n v="167.9"/>
    <n v="143.30000000000001"/>
    <n v="147.745"/>
  </r>
  <r>
    <x v="0"/>
    <x v="6"/>
    <x v="12"/>
    <s v="NA"/>
    <n v="142.80000000000001"/>
    <n v="165.3"/>
    <n v="149.5"/>
    <n v="148.69999999999999"/>
    <n v="127.5"/>
    <x v="194"/>
    <x v="218"/>
    <n v="138.80000000000001"/>
    <n v="113.6"/>
    <n v="149.1"/>
    <n v="139.30000000000001"/>
    <n v="158.30000000000001"/>
    <n v="154.30000000000001"/>
    <n v="167.8"/>
    <n v="152.6"/>
    <n v="147.30000000000001"/>
    <n v="151.9"/>
    <n v="149.9"/>
    <n v="151.19999999999999"/>
    <n v="154.80000000000001"/>
    <n v="135"/>
    <n v="149.5"/>
    <n v="161.1"/>
    <n v="140.6"/>
    <n v="147.1"/>
    <n v="152.30000000000001"/>
    <n v="154.30000000000001"/>
    <s v="NA"/>
    <n v="161.1"/>
    <n v="149.9"/>
    <n v="154.80000000000001"/>
    <n v="135"/>
    <n v="146.25"/>
    <n v="149.5"/>
    <n v="167.8"/>
    <n v="149.14999999999998"/>
    <n v="151.97777777777776"/>
  </r>
  <r>
    <x v="1"/>
    <x v="6"/>
    <x v="12"/>
    <n v="152.80000000000001"/>
    <n v="144.9"/>
    <n v="164.5"/>
    <n v="153.69999999999999"/>
    <n v="147.5"/>
    <n v="122.7"/>
    <x v="147"/>
    <x v="219"/>
    <n v="137.19999999999999"/>
    <n v="114.7"/>
    <n v="148"/>
    <n v="130.80000000000001"/>
    <n v="157.69999999999999"/>
    <n v="156.30000000000001"/>
    <n v="170.4"/>
    <n v="146.80000000000001"/>
    <n v="132.80000000000001"/>
    <n v="144.6"/>
    <n v="133.6"/>
    <n v="139.80000000000001"/>
    <n v="143.19999999999999"/>
    <n v="125.2"/>
    <n v="136.80000000000001"/>
    <n v="151.9"/>
    <n v="140.19999999999999"/>
    <n v="137.69999999999999"/>
    <n v="148.30000000000001"/>
    <n v="156.30000000000001"/>
    <n v="152.80000000000001"/>
    <n v="151.9"/>
    <n v="133.6"/>
    <n v="143.19999999999999"/>
    <n v="125.2"/>
    <n v="142.39999999999998"/>
    <n v="136.80000000000001"/>
    <n v="170.4"/>
    <n v="138.75"/>
    <n v="145.13500000000002"/>
  </r>
  <r>
    <x v="2"/>
    <x v="6"/>
    <x v="12"/>
    <n v="152.80000000000001"/>
    <n v="143.5"/>
    <n v="165"/>
    <n v="151.1"/>
    <n v="148.30000000000001"/>
    <n v="125.7"/>
    <x v="191"/>
    <x v="220"/>
    <n v="138.30000000000001"/>
    <n v="114"/>
    <n v="148.69999999999999"/>
    <n v="135.80000000000001"/>
    <n v="158"/>
    <n v="155"/>
    <n v="168.5"/>
    <n v="150.30000000000001"/>
    <n v="141.30000000000001"/>
    <n v="149"/>
    <n v="143.69999999999999"/>
    <n v="145.80000000000001"/>
    <n v="150.4"/>
    <n v="129.80000000000001"/>
    <n v="142.30000000000001"/>
    <n v="155.69999999999999"/>
    <n v="140.4"/>
    <n v="142.5"/>
    <n v="150.4"/>
    <n v="155"/>
    <n v="152.80000000000001"/>
    <n v="155.69999999999999"/>
    <n v="143.69999999999999"/>
    <n v="150.4"/>
    <n v="129.80000000000001"/>
    <n v="144.69999999999999"/>
    <n v="142.30000000000001"/>
    <n v="168.5"/>
    <n v="144.15"/>
    <n v="148.70500000000001"/>
  </r>
  <r>
    <x v="0"/>
    <x v="7"/>
    <x v="0"/>
    <s v="NA"/>
    <n v="143.69999999999999"/>
    <n v="167.3"/>
    <n v="153.5"/>
    <n v="150.5"/>
    <n v="132"/>
    <x v="146"/>
    <x v="221"/>
    <n v="141.1"/>
    <n v="113.8"/>
    <n v="151.6"/>
    <n v="139.69999999999999"/>
    <n v="158.69999999999999"/>
    <n v="153"/>
    <n v="168.6"/>
    <n v="152.80000000000001"/>
    <n v="147.4"/>
    <n v="152.1"/>
    <n v="150.4"/>
    <n v="151.69999999999999"/>
    <n v="155.69999999999999"/>
    <n v="136.30000000000001"/>
    <n v="150.1"/>
    <n v="161.69999999999999"/>
    <n v="142.5"/>
    <n v="148.1"/>
    <n v="151.9"/>
    <n v="153"/>
    <s v="NA"/>
    <n v="161.69999999999999"/>
    <n v="150.4"/>
    <n v="155.69999999999999"/>
    <n v="136.30000000000001"/>
    <n v="147.30000000000001"/>
    <n v="150.1"/>
    <n v="168.6"/>
    <n v="149.89999999999998"/>
    <n v="152.55555555555551"/>
  </r>
  <r>
    <x v="1"/>
    <x v="7"/>
    <x v="0"/>
    <n v="153.9"/>
    <n v="145.6"/>
    <n v="167.6"/>
    <n v="157"/>
    <n v="149.30000000000001"/>
    <n v="126.3"/>
    <x v="195"/>
    <x v="222"/>
    <n v="139.1"/>
    <n v="114.8"/>
    <n v="149.5"/>
    <n v="131.1"/>
    <n v="158.5"/>
    <n v="154.4"/>
    <n v="170.8"/>
    <n v="147"/>
    <n v="133.19999999999999"/>
    <n v="144.9"/>
    <n v="135.1"/>
    <n v="140.1"/>
    <n v="143.80000000000001"/>
    <n v="126.1"/>
    <n v="137.19999999999999"/>
    <n v="152.1"/>
    <n v="142.1"/>
    <n v="138.4"/>
    <n v="148.19999999999999"/>
    <n v="154.4"/>
    <n v="153.9"/>
    <n v="152.1"/>
    <n v="135.1"/>
    <n v="143.80000000000001"/>
    <n v="126.1"/>
    <n v="143.5"/>
    <n v="137.19999999999999"/>
    <n v="170.8"/>
    <n v="139.25"/>
    <n v="145.61499999999998"/>
  </r>
  <r>
    <x v="2"/>
    <x v="7"/>
    <x v="0"/>
    <n v="153.9"/>
    <n v="144.30000000000001"/>
    <n v="167.4"/>
    <n v="154.9"/>
    <n v="150.1"/>
    <n v="129.9"/>
    <x v="196"/>
    <x v="223"/>
    <n v="140.4"/>
    <n v="114.1"/>
    <n v="150.9"/>
    <n v="136.1"/>
    <n v="158.6"/>
    <n v="153.5"/>
    <n v="169.2"/>
    <n v="150.5"/>
    <n v="141.5"/>
    <n v="149.19999999999999"/>
    <n v="144.6"/>
    <n v="146.19999999999999"/>
    <n v="151.19999999999999"/>
    <n v="130.9"/>
    <n v="142.80000000000001"/>
    <n v="156.1"/>
    <n v="142.30000000000001"/>
    <n v="143.4"/>
    <n v="150.19999999999999"/>
    <n v="153.5"/>
    <n v="153.9"/>
    <n v="156.1"/>
    <n v="144.6"/>
    <n v="151.19999999999999"/>
    <n v="130.9"/>
    <n v="145.75"/>
    <n v="142.80000000000001"/>
    <n v="169.2"/>
    <n v="144.80000000000001"/>
    <n v="149.27499999999998"/>
  </r>
  <r>
    <x v="0"/>
    <x v="7"/>
    <x v="1"/>
    <s v="NA"/>
    <n v="144.19999999999999"/>
    <n v="167.5"/>
    <n v="150.9"/>
    <n v="150.9"/>
    <n v="133.69999999999999"/>
    <x v="197"/>
    <x v="224"/>
    <n v="141.80000000000001"/>
    <n v="113.1"/>
    <n v="152.80000000000001"/>
    <n v="140.1"/>
    <n v="159.19999999999999"/>
    <n v="149.80000000000001"/>
    <n v="169.4"/>
    <n v="153"/>
    <n v="147.5"/>
    <n v="152.30000000000001"/>
    <n v="152.30000000000001"/>
    <n v="151.80000000000001"/>
    <n v="156.19999999999999"/>
    <n v="136"/>
    <n v="150.4"/>
    <n v="161.9"/>
    <n v="143.4"/>
    <n v="148.4"/>
    <n v="150.4"/>
    <n v="149.80000000000001"/>
    <s v="NA"/>
    <n v="161.9"/>
    <n v="152.30000000000001"/>
    <n v="156.19999999999999"/>
    <n v="136"/>
    <n v="147.85000000000002"/>
    <n v="150.4"/>
    <n v="169.4"/>
    <n v="150.10000000000002"/>
    <n v="152.66111111111115"/>
  </r>
  <r>
    <x v="1"/>
    <x v="7"/>
    <x v="1"/>
    <n v="154.80000000000001"/>
    <n v="146.19999999999999"/>
    <n v="167.6"/>
    <n v="153.1"/>
    <n v="150.69999999999999"/>
    <n v="127.4"/>
    <x v="198"/>
    <x v="225"/>
    <n v="139.6"/>
    <n v="114.6"/>
    <n v="150.4"/>
    <n v="131.5"/>
    <n v="159"/>
    <n v="151.69999999999999"/>
    <n v="172"/>
    <n v="147.30000000000001"/>
    <n v="133.5"/>
    <n v="145.19999999999999"/>
    <n v="138.9"/>
    <n v="140.4"/>
    <n v="144.4"/>
    <n v="125.2"/>
    <n v="137.69999999999999"/>
    <n v="152.19999999999999"/>
    <n v="143.5"/>
    <n v="138.4"/>
    <n v="147.69999999999999"/>
    <n v="151.69999999999999"/>
    <n v="154.80000000000001"/>
    <n v="152.19999999999999"/>
    <n v="138.9"/>
    <n v="144.4"/>
    <n v="125.2"/>
    <n v="144.35"/>
    <n v="137.69999999999999"/>
    <n v="172"/>
    <n v="139.4"/>
    <n v="146.065"/>
  </r>
  <r>
    <x v="2"/>
    <x v="7"/>
    <x v="1"/>
    <n v="154.80000000000001"/>
    <n v="144.80000000000001"/>
    <n v="167.5"/>
    <n v="151.80000000000001"/>
    <n v="150.80000000000001"/>
    <n v="131.4"/>
    <x v="127"/>
    <x v="226"/>
    <n v="141.1"/>
    <n v="113.6"/>
    <n v="152"/>
    <n v="136.5"/>
    <n v="159.1"/>
    <n v="150.5"/>
    <n v="170.1"/>
    <n v="150.80000000000001"/>
    <n v="141.69999999999999"/>
    <n v="149.5"/>
    <n v="147.19999999999999"/>
    <n v="146.4"/>
    <n v="151.69999999999999"/>
    <n v="130.30000000000001"/>
    <n v="143.19999999999999"/>
    <n v="156.19999999999999"/>
    <n v="143.4"/>
    <n v="143.6"/>
    <n v="149.1"/>
    <n v="150.5"/>
    <n v="154.80000000000001"/>
    <n v="156.19999999999999"/>
    <n v="147.19999999999999"/>
    <n v="151.69999999999999"/>
    <n v="130.30000000000001"/>
    <n v="146.44999999999999"/>
    <n v="143.19999999999999"/>
    <n v="170.1"/>
    <n v="145"/>
    <n v="149.54500000000002"/>
  </r>
  <r>
    <x v="0"/>
    <x v="7"/>
    <x v="2"/>
    <s v="NA"/>
    <n v="144.4"/>
    <n v="166.8"/>
    <n v="147.6"/>
    <n v="151.69999999999999"/>
    <n v="133.30000000000001"/>
    <x v="127"/>
    <x v="227"/>
    <n v="141.80000000000001"/>
    <n v="112.6"/>
    <n v="154"/>
    <n v="140.1"/>
    <n v="160"/>
    <n v="148.19999999999999"/>
    <n v="170.5"/>
    <n v="153.4"/>
    <n v="147.6"/>
    <n v="152.5"/>
    <n v="153.4"/>
    <n v="151.5"/>
    <n v="156.69999999999999"/>
    <n v="135.80000000000001"/>
    <n v="151.19999999999999"/>
    <n v="161.19999999999999"/>
    <n v="145.1"/>
    <n v="148.6"/>
    <n v="149.80000000000001"/>
    <n v="148.19999999999999"/>
    <s v="NA"/>
    <n v="161.19999999999999"/>
    <n v="153.4"/>
    <n v="156.69999999999999"/>
    <n v="135.80000000000001"/>
    <n v="148.80000000000001"/>
    <n v="151.19999999999999"/>
    <n v="170.5"/>
    <n v="150.05000000000001"/>
    <n v="152.87222222222221"/>
  </r>
  <r>
    <x v="1"/>
    <x v="7"/>
    <x v="2"/>
    <n v="154.5"/>
    <n v="146.5"/>
    <n v="167.5"/>
    <n v="148.9"/>
    <n v="151.1"/>
    <n v="127.5"/>
    <x v="181"/>
    <x v="228"/>
    <n v="139.69999999999999"/>
    <n v="114.4"/>
    <n v="151.5"/>
    <n v="131.9"/>
    <n v="159.1"/>
    <n v="150.1"/>
    <n v="173.3"/>
    <n v="147.69999999999999"/>
    <n v="133.80000000000001"/>
    <n v="145.6"/>
    <n v="141.4"/>
    <n v="140.80000000000001"/>
    <n v="145"/>
    <n v="124.6"/>
    <n v="137.9"/>
    <n v="152.5"/>
    <n v="145.30000000000001"/>
    <n v="138.69999999999999"/>
    <n v="147.30000000000001"/>
    <n v="150.1"/>
    <n v="154.5"/>
    <n v="152.5"/>
    <n v="141.4"/>
    <n v="145"/>
    <n v="124.6"/>
    <n v="145.44999999999999"/>
    <n v="137.9"/>
    <n v="173.3"/>
    <n v="139.75"/>
    <n v="146.44999999999999"/>
  </r>
  <r>
    <x v="2"/>
    <x v="7"/>
    <x v="2"/>
    <n v="154.5"/>
    <n v="145.1"/>
    <n v="167"/>
    <n v="148.1"/>
    <n v="151.5"/>
    <n v="131.19999999999999"/>
    <x v="175"/>
    <x v="183"/>
    <n v="141.1"/>
    <n v="113.2"/>
    <n v="153.19999999999999"/>
    <n v="136.69999999999999"/>
    <n v="159.6"/>
    <n v="148.9"/>
    <n v="171.2"/>
    <n v="151.19999999999999"/>
    <n v="141.9"/>
    <n v="149.80000000000001"/>
    <n v="148.9"/>
    <n v="146.4"/>
    <n v="152.30000000000001"/>
    <n v="129.9"/>
    <n v="143.69999999999999"/>
    <n v="156.1"/>
    <n v="145.19999999999999"/>
    <n v="143.80000000000001"/>
    <n v="148.6"/>
    <n v="148.9"/>
    <n v="154.5"/>
    <n v="156.1"/>
    <n v="148.9"/>
    <n v="152.30000000000001"/>
    <n v="129.9"/>
    <n v="147.5"/>
    <n v="143.69999999999999"/>
    <n v="171.2"/>
    <n v="145.10000000000002"/>
    <n v="149.81"/>
  </r>
  <r>
    <x v="0"/>
    <x v="7"/>
    <x v="3"/>
    <s v="NA"/>
    <n v="147.19999999999999"/>
    <n v="167.20000000000002"/>
    <n v="146.9"/>
    <n v="155.6"/>
    <n v="137.1"/>
    <x v="144"/>
    <x v="229"/>
    <n v="150.19999999999999"/>
    <n v="119.8"/>
    <n v="158.69999999999999"/>
    <n v="139.19999999999999"/>
    <n v="159.29999999999998"/>
    <n v="150.1"/>
    <n v="169.5"/>
    <n v="153.06666666666669"/>
    <n v="147.5"/>
    <n v="152.29999999999998"/>
    <n v="148.4"/>
    <n v="151.66666666666666"/>
    <n v="154.30000000000001"/>
    <n v="136.03333333333333"/>
    <n v="150.56666666666666"/>
    <n v="161.6"/>
    <n v="143.66666666666666"/>
    <n v="148.36666666666667"/>
    <n v="150.70000000000002"/>
    <n v="150.1"/>
    <s v="NA"/>
    <n v="161.6"/>
    <n v="148.4"/>
    <n v="154.30000000000001"/>
    <n v="136.03333333333333"/>
    <n v="147.98333333333332"/>
    <n v="150.56666666666666"/>
    <n v="169.5"/>
    <n v="150.01666666666665"/>
    <n v="152.05555555555554"/>
  </r>
  <r>
    <x v="1"/>
    <x v="7"/>
    <x v="3"/>
    <n v="155.6"/>
    <n v="151.80000000000001"/>
    <n v="167.56666666666666"/>
    <n v="151.9"/>
    <n v="155.5"/>
    <n v="131.6"/>
    <x v="154"/>
    <x v="230"/>
    <n v="150.80000000000001"/>
    <n v="121.2"/>
    <n v="154"/>
    <n v="133.5"/>
    <n v="158.86666666666667"/>
    <n v="153.5"/>
    <n v="172.03333333333333"/>
    <n v="147.33333333333334"/>
    <n v="133.5"/>
    <n v="145.23333333333335"/>
    <n v="137.1"/>
    <n v="140.43333333333334"/>
    <n v="144.80000000000001"/>
    <n v="129.03333333333333"/>
    <n v="137.6"/>
    <n v="152.26666666666665"/>
    <n v="143.63333333333335"/>
    <n v="138.5"/>
    <n v="147.73333333333332"/>
    <n v="153.5"/>
    <n v="155.6"/>
    <n v="152.26666666666665"/>
    <n v="137.1"/>
    <n v="144.80000000000001"/>
    <n v="129.03333333333333"/>
    <n v="144.43333333333334"/>
    <n v="137.6"/>
    <n v="172.03333333333333"/>
    <n v="139.46666666666667"/>
    <n v="146.58333333333331"/>
  </r>
  <r>
    <x v="2"/>
    <x v="7"/>
    <x v="3"/>
    <n v="155.6"/>
    <n v="148.69999999999999"/>
    <n v="167.29999999999998"/>
    <n v="148.80000000000001"/>
    <n v="155.6"/>
    <n v="135.1"/>
    <x v="199"/>
    <x v="58"/>
    <n v="150.4"/>
    <n v="120.3"/>
    <n v="157.1"/>
    <n v="136.80000000000001"/>
    <n v="159.1"/>
    <n v="151.4"/>
    <n v="170.16666666666666"/>
    <n v="150.83333333333334"/>
    <n v="141.70000000000002"/>
    <n v="149.5"/>
    <n v="144.1"/>
    <n v="146.33333333333334"/>
    <n v="150.69999999999999"/>
    <n v="132.33333333333334"/>
    <n v="143.23333333333332"/>
    <n v="156.13333333333333"/>
    <n v="143.63333333333335"/>
    <n v="143.6"/>
    <n v="149.29999999999998"/>
    <n v="151.4"/>
    <n v="155.6"/>
    <n v="156.13333333333333"/>
    <n v="144.1"/>
    <n v="150.69999999999999"/>
    <n v="132.33333333333334"/>
    <n v="146.56666666666666"/>
    <n v="143.23333333333332"/>
    <n v="170.16666666666666"/>
    <n v="144.96666666666667"/>
    <n v="149.52000000000004"/>
  </r>
  <r>
    <x v="0"/>
    <x v="7"/>
    <x v="4"/>
    <s v="NA"/>
    <n v="145.26666666666668"/>
    <n v="167.16666666666666"/>
    <n v="148.46666666666667"/>
    <n v="152.73333333333335"/>
    <n v="134.70000000000002"/>
    <x v="200"/>
    <x v="231"/>
    <n v="144.6"/>
    <n v="115.16666666666667"/>
    <n v="155.16666666666666"/>
    <n v="139.79999999999998"/>
    <n v="159.5"/>
    <n v="149.36666666666667"/>
    <n v="169.79999999999998"/>
    <n v="153.15555555555557"/>
    <n v="147.53333333333333"/>
    <n v="152.36666666666667"/>
    <n v="151.36666666666667"/>
    <n v="151.65555555555557"/>
    <n v="155.73333333333332"/>
    <n v="135.86666666666667"/>
    <n v="150.72222222222223"/>
    <n v="161.56666666666669"/>
    <n v="144.05555555555554"/>
    <n v="148.45555555555555"/>
    <n v="150.30000000000004"/>
    <n v="149.36666666666667"/>
    <s v="NA"/>
    <n v="161.56666666666669"/>
    <n v="151.36666666666667"/>
    <n v="155.73333333333332"/>
    <n v="135.86666666666667"/>
    <n v="148.21111111111111"/>
    <n v="150.72222222222223"/>
    <n v="169.79999999999998"/>
    <n v="150.05555555555554"/>
    <n v="152.52098765432098"/>
  </r>
  <r>
    <x v="1"/>
    <x v="7"/>
    <x v="4"/>
    <n v="154.96666666666667"/>
    <n v="148.16666666666666"/>
    <n v="167.55555555555557"/>
    <n v="151.29999999999998"/>
    <n v="152.43333333333331"/>
    <n v="128.83333333333334"/>
    <x v="201"/>
    <x v="232"/>
    <n v="143.36666666666665"/>
    <n v="116.73333333333333"/>
    <n v="151.96666666666667"/>
    <n v="132.29999999999998"/>
    <n v="158.98888888888891"/>
    <n v="151.76666666666665"/>
    <n v="172.44444444444446"/>
    <n v="147.44444444444446"/>
    <n v="133.6"/>
    <n v="145.34444444444443"/>
    <n v="139.13333333333333"/>
    <n v="140.54444444444445"/>
    <n v="144.73333333333332"/>
    <n v="128.53333333333333"/>
    <n v="137.73333333333335"/>
    <n v="152.32222222222222"/>
    <n v="144.14444444444447"/>
    <n v="138.53333333333333"/>
    <n v="147.57777777777778"/>
    <n v="151.76666666666665"/>
    <n v="154.96666666666667"/>
    <n v="152.32222222222222"/>
    <n v="139.13333333333333"/>
    <n v="144.73333333333332"/>
    <n v="128.53333333333333"/>
    <n v="144.74444444444447"/>
    <n v="137.73333333333335"/>
    <n v="172.44444444444446"/>
    <n v="139.53888888888889"/>
    <n v="146.59166666666664"/>
  </r>
  <r>
    <x v="2"/>
    <x v="7"/>
    <x v="4"/>
    <n v="154.97"/>
    <n v="146.19999999999999"/>
    <n v="167.26666666666665"/>
    <n v="149.56666666666666"/>
    <n v="152.63333333333333"/>
    <n v="132.56666666666669"/>
    <x v="202"/>
    <x v="233"/>
    <n v="144.20000000000002"/>
    <n v="115.7"/>
    <n v="154.1"/>
    <n v="136.66666666666666"/>
    <n v="159.26666666666665"/>
    <n v="150.26666666666665"/>
    <n v="170.48888888888885"/>
    <n v="150.94444444444446"/>
    <n v="141.76666666666668"/>
    <n v="149.6"/>
    <n v="146.73333333333335"/>
    <n v="146.37777777777777"/>
    <n v="151.56666666666666"/>
    <n v="132.00000000000003"/>
    <n v="143.37777777777777"/>
    <n v="156.14444444444442"/>
    <n v="144.07777777777778"/>
    <n v="143.66666666666666"/>
    <n v="149"/>
    <n v="150.26666666666665"/>
    <n v="154.97"/>
    <n v="156.14444444444442"/>
    <n v="146.73333333333335"/>
    <n v="151.56666666666666"/>
    <n v="132.00000000000003"/>
    <n v="146.8388888888889"/>
    <n v="143.37777777777777"/>
    <n v="170.48888888888885"/>
    <n v="145.02222222222221"/>
    <n v="149.74088888888886"/>
  </r>
  <r>
    <x v="0"/>
    <x v="7"/>
    <x v="5"/>
    <s v="NA"/>
    <n v="148.19999999999999"/>
    <n v="190.3"/>
    <n v="149.4"/>
    <n v="153.30000000000001"/>
    <n v="138.19999999999999"/>
    <x v="196"/>
    <x v="234"/>
    <n v="150.30000000000001"/>
    <n v="113.2"/>
    <n v="159.80000000000001"/>
    <n v="142.1"/>
    <n v="161.80000000000001"/>
    <n v="152.30000000000001"/>
    <n v="182.4"/>
    <n v="154.69999999999999"/>
    <n v="150"/>
    <n v="154.1"/>
    <n v="144.9"/>
    <n v="151.69999999999999"/>
    <n v="158.19999999999999"/>
    <n v="141.4"/>
    <n v="153.19999999999999"/>
    <n v="161.80000000000001"/>
    <n v="151.19999999999999"/>
    <n v="151.69999999999999"/>
    <n v="152.69999999999999"/>
    <n v="152.30000000000001"/>
    <s v="NA"/>
    <n v="161.80000000000001"/>
    <n v="144.9"/>
    <n v="158.19999999999999"/>
    <n v="141.4"/>
    <n v="152.64999999999998"/>
    <n v="153.19999999999999"/>
    <n v="182.4"/>
    <n v="151.69999999999999"/>
    <n v="155.39444444444447"/>
  </r>
  <r>
    <x v="1"/>
    <x v="7"/>
    <x v="5"/>
    <n v="154.69999999999999"/>
    <n v="152.69999999999999"/>
    <n v="197"/>
    <n v="154.6"/>
    <n v="153.4"/>
    <n v="132.9"/>
    <x v="203"/>
    <x v="27"/>
    <n v="152"/>
    <n v="116.3"/>
    <n v="158.80000000000001"/>
    <n v="135.6"/>
    <n v="161.69999999999999"/>
    <n v="157"/>
    <n v="186.7"/>
    <n v="149.1"/>
    <n v="136.6"/>
    <n v="147.19999999999999"/>
    <n v="137.1"/>
    <n v="140.4"/>
    <n v="148.1"/>
    <n v="129.30000000000001"/>
    <n v="144.5"/>
    <n v="152.5"/>
    <n v="152.19999999999999"/>
    <n v="142"/>
    <n v="150.80000000000001"/>
    <n v="157"/>
    <n v="154.69999999999999"/>
    <n v="152.5"/>
    <n v="137.1"/>
    <n v="148.1"/>
    <n v="129.30000000000001"/>
    <n v="149.69999999999999"/>
    <n v="144.5"/>
    <n v="186.7"/>
    <n v="141.19999999999999"/>
    <n v="150.08000000000001"/>
  </r>
  <r>
    <x v="2"/>
    <x v="7"/>
    <x v="5"/>
    <n v="154.69999999999999"/>
    <n v="149.6"/>
    <n v="192.7"/>
    <n v="151.4"/>
    <n v="153.30000000000001"/>
    <n v="136.30000000000001"/>
    <x v="147"/>
    <x v="235"/>
    <n v="150.9"/>
    <n v="114.2"/>
    <n v="159.5"/>
    <n v="139.4"/>
    <n v="161.80000000000001"/>
    <n v="154"/>
    <n v="183.5"/>
    <n v="152.5"/>
    <n v="144.4"/>
    <n v="151.4"/>
    <n v="141.9"/>
    <n v="146.4"/>
    <n v="154.4"/>
    <n v="135"/>
    <n v="148.30000000000001"/>
    <n v="156.4"/>
    <n v="151.6"/>
    <n v="147"/>
    <n v="151.80000000000001"/>
    <n v="154"/>
    <n v="154.69999999999999"/>
    <n v="156.4"/>
    <n v="141.9"/>
    <n v="154.4"/>
    <n v="135"/>
    <n v="151.5"/>
    <n v="148.30000000000001"/>
    <n v="183.5"/>
    <n v="146.69999999999999"/>
    <n v="152.64000000000001"/>
  </r>
  <r>
    <x v="0"/>
    <x v="7"/>
    <x v="6"/>
    <s v="NA"/>
    <n v="148.19999999999999"/>
    <n v="190.3"/>
    <n v="149.4"/>
    <n v="153.30000000000001"/>
    <n v="138.19999999999999"/>
    <x v="196"/>
    <x v="234"/>
    <n v="150.30000000000001"/>
    <n v="113.2"/>
    <n v="159.80000000000001"/>
    <n v="142.1"/>
    <n v="161.80000000000001"/>
    <n v="152.30000000000001"/>
    <n v="182.4"/>
    <n v="154.69999999999999"/>
    <n v="150"/>
    <n v="154.1"/>
    <n v="144.9"/>
    <n v="151.69999999999999"/>
    <n v="158.19999999999999"/>
    <n v="141.4"/>
    <n v="153.19999999999999"/>
    <n v="161.80000000000001"/>
    <n v="151.19999999999999"/>
    <n v="151.69999999999999"/>
    <n v="152.69999999999999"/>
    <n v="152.30000000000001"/>
    <s v="NA"/>
    <n v="161.80000000000001"/>
    <n v="144.9"/>
    <n v="158.19999999999999"/>
    <n v="141.4"/>
    <n v="152.64999999999998"/>
    <n v="153.19999999999999"/>
    <n v="182.4"/>
    <n v="151.69999999999999"/>
    <n v="155.39444444444447"/>
  </r>
  <r>
    <x v="1"/>
    <x v="7"/>
    <x v="6"/>
    <n v="154.69999999999999"/>
    <n v="152.69999999999999"/>
    <n v="197"/>
    <n v="154.6"/>
    <n v="153.4"/>
    <n v="132.9"/>
    <x v="203"/>
    <x v="27"/>
    <n v="152"/>
    <n v="116.3"/>
    <n v="158.80000000000001"/>
    <n v="135.6"/>
    <n v="161.69999999999999"/>
    <n v="157"/>
    <n v="186.7"/>
    <n v="149.1"/>
    <n v="136.6"/>
    <n v="147.19999999999999"/>
    <n v="137.1"/>
    <n v="140.4"/>
    <n v="148.1"/>
    <n v="129.30000000000001"/>
    <n v="144.5"/>
    <n v="152.5"/>
    <n v="152.19999999999999"/>
    <n v="142"/>
    <n v="150.80000000000001"/>
    <n v="157"/>
    <n v="154.69999999999999"/>
    <n v="152.5"/>
    <n v="137.1"/>
    <n v="148.1"/>
    <n v="129.30000000000001"/>
    <n v="149.69999999999999"/>
    <n v="144.5"/>
    <n v="186.7"/>
    <n v="141.19999999999999"/>
    <n v="150.08000000000001"/>
  </r>
  <r>
    <x v="2"/>
    <x v="7"/>
    <x v="6"/>
    <n v="154.69999999999999"/>
    <n v="149.6"/>
    <n v="192.7"/>
    <n v="151.4"/>
    <n v="153.30000000000001"/>
    <n v="136.30000000000001"/>
    <x v="147"/>
    <x v="235"/>
    <n v="150.9"/>
    <n v="114.2"/>
    <n v="159.5"/>
    <n v="139.4"/>
    <n v="161.80000000000001"/>
    <n v="154"/>
    <n v="183.5"/>
    <n v="152.5"/>
    <n v="144.4"/>
    <n v="151.4"/>
    <n v="141.9"/>
    <n v="146.4"/>
    <n v="154.4"/>
    <n v="135"/>
    <n v="148.30000000000001"/>
    <n v="156.4"/>
    <n v="151.6"/>
    <n v="147"/>
    <n v="151.80000000000001"/>
    <n v="154"/>
    <n v="154.69999999999999"/>
    <n v="156.4"/>
    <n v="141.9"/>
    <n v="154.4"/>
    <n v="135"/>
    <n v="151.5"/>
    <n v="148.30000000000001"/>
    <n v="183.5"/>
    <n v="146.69999999999999"/>
    <n v="152.64000000000001"/>
  </r>
  <r>
    <x v="0"/>
    <x v="7"/>
    <x v="7"/>
    <s v="NA"/>
    <n v="147.6"/>
    <n v="187.2"/>
    <n v="148.4"/>
    <n v="153.30000000000001"/>
    <n v="139.80000000000001"/>
    <x v="204"/>
    <x v="236"/>
    <n v="149.9"/>
    <n v="114.2"/>
    <n v="160"/>
    <n v="143.5"/>
    <n v="161.5"/>
    <n v="155.30000000000001"/>
    <n v="180.9"/>
    <n v="155.1"/>
    <n v="149.30000000000001"/>
    <n v="154.30000000000001"/>
    <n v="145.80000000000001"/>
    <n v="151.9"/>
    <n v="158.80000000000001"/>
    <n v="143.6"/>
    <n v="152.19999999999999"/>
    <n v="162.69999999999999"/>
    <n v="153.6"/>
    <n v="153"/>
    <n v="154.69999999999999"/>
    <n v="155.30000000000001"/>
    <s v="NA"/>
    <n v="162.69999999999999"/>
    <n v="145.80000000000001"/>
    <n v="158.80000000000001"/>
    <n v="143.6"/>
    <n v="153.94999999999999"/>
    <n v="152.19999999999999"/>
    <n v="180.9"/>
    <n v="152.44999999999999"/>
    <n v="156.18888888888893"/>
  </r>
  <r>
    <x v="1"/>
    <x v="7"/>
    <x v="7"/>
    <n v="155.5"/>
    <n v="151.6"/>
    <n v="197.8"/>
    <n v="154.5"/>
    <n v="153.4"/>
    <n v="133.4"/>
    <x v="205"/>
    <x v="237"/>
    <n v="151.30000000000001"/>
    <n v="116.8"/>
    <n v="160"/>
    <n v="136.5"/>
    <n v="163.30000000000001"/>
    <n v="159.9"/>
    <n v="187.2"/>
    <n v="150"/>
    <n v="135.19999999999999"/>
    <n v="147.80000000000001"/>
    <n v="138.30000000000001"/>
    <n v="144.5"/>
    <n v="148.69999999999999"/>
    <n v="133.9"/>
    <n v="141.19999999999999"/>
    <n v="155.5"/>
    <n v="155.19999999999999"/>
    <n v="144.80000000000001"/>
    <n v="152.9"/>
    <n v="159.9"/>
    <n v="155.5"/>
    <n v="155.5"/>
    <n v="138.30000000000001"/>
    <n v="148.69999999999999"/>
    <n v="133.9"/>
    <n v="151.5"/>
    <n v="141.19999999999999"/>
    <n v="187.2"/>
    <n v="144.65"/>
    <n v="151.63500000000005"/>
  </r>
  <r>
    <x v="2"/>
    <x v="7"/>
    <x v="7"/>
    <n v="155.5"/>
    <n v="148.9"/>
    <n v="190.9"/>
    <n v="150.80000000000001"/>
    <n v="153.30000000000001"/>
    <n v="137.4"/>
    <x v="206"/>
    <x v="28"/>
    <n v="150.4"/>
    <n v="115.1"/>
    <n v="160"/>
    <n v="140.6"/>
    <n v="162.30000000000001"/>
    <n v="157"/>
    <n v="182.6"/>
    <n v="153.1"/>
    <n v="143.4"/>
    <n v="151.69999999999999"/>
    <n v="143"/>
    <n v="148.4"/>
    <n v="155"/>
    <n v="138.5"/>
    <n v="146"/>
    <n v="158.5"/>
    <n v="154.30000000000001"/>
    <n v="149"/>
    <n v="153.9"/>
    <n v="157"/>
    <n v="155.5"/>
    <n v="158.5"/>
    <n v="143"/>
    <n v="155"/>
    <n v="138.5"/>
    <n v="153"/>
    <n v="146"/>
    <n v="182.6"/>
    <n v="148.69999999999999"/>
    <n v="153.78"/>
  </r>
  <r>
    <x v="0"/>
    <x v="7"/>
    <x v="8"/>
    <s v="NA"/>
    <n v="146.9"/>
    <n v="183.9"/>
    <n v="149.5"/>
    <n v="153.4"/>
    <n v="140.4"/>
    <x v="207"/>
    <x v="212"/>
    <n v="149.30000000000001"/>
    <n v="115.1"/>
    <n v="160"/>
    <n v="145.4"/>
    <n v="161.6"/>
    <n v="156.1"/>
    <n v="182.9"/>
    <n v="155.4"/>
    <n v="149.9"/>
    <n v="154.6"/>
    <n v="146.4"/>
    <n v="151.6"/>
    <n v="159.1"/>
    <n v="144.6"/>
    <n v="152.80000000000001"/>
    <n v="161.1"/>
    <n v="157.4"/>
    <n v="153.69999999999999"/>
    <n v="155.4"/>
    <n v="156.1"/>
    <s v="NA"/>
    <n v="161.1"/>
    <n v="146.4"/>
    <n v="159.1"/>
    <n v="144.6"/>
    <n v="156"/>
    <n v="152.80000000000001"/>
    <n v="182.9"/>
    <n v="152.64999999999998"/>
    <n v="156.85000000000002"/>
  </r>
  <r>
    <x v="1"/>
    <x v="7"/>
    <x v="8"/>
    <n v="156.30000000000001"/>
    <n v="151.5"/>
    <n v="193.1"/>
    <n v="157.30000000000001"/>
    <n v="153.9"/>
    <n v="134.4"/>
    <x v="208"/>
    <x v="238"/>
    <n v="150.80000000000001"/>
    <n v="118.9"/>
    <n v="160.9"/>
    <n v="137.69999999999999"/>
    <n v="164.4"/>
    <n v="161.30000000000001"/>
    <n v="188.7"/>
    <n v="150.19999999999999"/>
    <n v="136.30000000000001"/>
    <n v="148.1"/>
    <n v="137.19999999999999"/>
    <n v="145.4"/>
    <n v="150"/>
    <n v="135.1"/>
    <n v="141.80000000000001"/>
    <n v="154.9"/>
    <n v="159.80000000000001"/>
    <n v="146"/>
    <n v="154"/>
    <n v="161.30000000000001"/>
    <n v="156.30000000000001"/>
    <n v="154.9"/>
    <n v="137.19999999999999"/>
    <n v="150"/>
    <n v="135.1"/>
    <n v="153.94999999999999"/>
    <n v="141.80000000000001"/>
    <n v="188.7"/>
    <n v="145.69999999999999"/>
    <n v="152.495"/>
  </r>
  <r>
    <x v="2"/>
    <x v="7"/>
    <x v="8"/>
    <n v="156.30000000000001"/>
    <n v="148.4"/>
    <n v="187.1"/>
    <n v="152.5"/>
    <n v="153.6"/>
    <n v="138.19999999999999"/>
    <x v="182"/>
    <x v="239"/>
    <n v="149.80000000000001"/>
    <n v="116.4"/>
    <n v="160.30000000000001"/>
    <n v="142.19999999999999"/>
    <n v="162.9"/>
    <n v="158"/>
    <n v="184.4"/>
    <n v="153.4"/>
    <n v="144.30000000000001"/>
    <n v="152"/>
    <n v="142.9"/>
    <n v="148.69999999999999"/>
    <n v="155.6"/>
    <n v="139.6"/>
    <n v="146.6"/>
    <n v="157.5"/>
    <n v="158.4"/>
    <n v="150"/>
    <n v="154.69999999999999"/>
    <n v="158"/>
    <n v="156.30000000000001"/>
    <n v="157.5"/>
    <n v="142.9"/>
    <n v="155.6"/>
    <n v="139.6"/>
    <n v="155.19999999999999"/>
    <n v="146.6"/>
    <n v="184.4"/>
    <n v="149.35"/>
    <n v="154.54500000000002"/>
  </r>
  <r>
    <x v="0"/>
    <x v="7"/>
    <x v="9"/>
    <s v="NA"/>
    <n v="146"/>
    <n v="186.3"/>
    <n v="159.19999999999999"/>
    <n v="153.6"/>
    <n v="142.6"/>
    <x v="147"/>
    <x v="240"/>
    <n v="150.30000000000001"/>
    <n v="115.3"/>
    <n v="160.9"/>
    <n v="147.4"/>
    <n v="161.9"/>
    <n v="159.6"/>
    <n v="182.7"/>
    <n v="155.69999999999999"/>
    <n v="150.6"/>
    <n v="155"/>
    <n v="146.80000000000001"/>
    <n v="152"/>
    <n v="159.5"/>
    <n v="146.4"/>
    <n v="152.4"/>
    <n v="162.5"/>
    <n v="156.19999999999999"/>
    <n v="154.30000000000001"/>
    <n v="157.5"/>
    <n v="159.6"/>
    <s v="NA"/>
    <n v="162.5"/>
    <n v="146.80000000000001"/>
    <n v="159.5"/>
    <n v="146.4"/>
    <n v="155.6"/>
    <n v="152.4"/>
    <n v="182.7"/>
    <n v="153.15"/>
    <n v="157.62777777777782"/>
  </r>
  <r>
    <x v="1"/>
    <x v="7"/>
    <x v="9"/>
    <n v="156.5"/>
    <n v="150.6"/>
    <n v="193.7"/>
    <n v="164.8"/>
    <n v="153.69999999999999"/>
    <n v="135.69999999999999"/>
    <x v="209"/>
    <x v="241"/>
    <n v="152.19999999999999"/>
    <n v="118.1"/>
    <n v="161.30000000000001"/>
    <n v="139.19999999999999"/>
    <n v="164.8"/>
    <n v="164.4"/>
    <n v="188.7"/>
    <n v="150.5"/>
    <n v="136.1"/>
    <n v="148.30000000000001"/>
    <n v="137.1"/>
    <n v="145.1"/>
    <n v="151"/>
    <n v="135.4"/>
    <n v="142"/>
    <n v="155.69999999999999"/>
    <n v="158.1"/>
    <n v="146.19999999999999"/>
    <n v="155.19999999999999"/>
    <n v="164.4"/>
    <n v="156.5"/>
    <n v="155.69999999999999"/>
    <n v="137.1"/>
    <n v="151"/>
    <n v="135.4"/>
    <n v="153.19999999999999"/>
    <n v="142"/>
    <n v="188.7"/>
    <n v="145.64999999999998"/>
    <n v="152.965"/>
  </r>
  <r>
    <x v="2"/>
    <x v="7"/>
    <x v="9"/>
    <n v="156.5"/>
    <n v="147.5"/>
    <n v="188.9"/>
    <n v="161.4"/>
    <n v="153.6"/>
    <n v="140.1"/>
    <x v="210"/>
    <x v="242"/>
    <n v="150.9"/>
    <n v="116.2"/>
    <n v="161"/>
    <n v="144"/>
    <n v="163.19999999999999"/>
    <n v="161.4"/>
    <n v="184.3"/>
    <n v="153.69999999999999"/>
    <n v="144.6"/>
    <n v="152.30000000000001"/>
    <n v="143.1"/>
    <n v="148.69999999999999"/>
    <n v="156.30000000000001"/>
    <n v="140.6"/>
    <n v="146.5"/>
    <n v="158.5"/>
    <n v="157"/>
    <n v="150.4"/>
    <n v="156.4"/>
    <n v="161.4"/>
    <n v="156.5"/>
    <n v="158.5"/>
    <n v="143.1"/>
    <n v="156.30000000000001"/>
    <n v="140.6"/>
    <n v="154.65"/>
    <n v="146.5"/>
    <n v="184.3"/>
    <n v="149.55000000000001"/>
    <n v="155.13999999999999"/>
  </r>
  <r>
    <x v="0"/>
    <x v="7"/>
    <x v="11"/>
    <s v="NA"/>
    <n v="145.4"/>
    <n v="188.6"/>
    <n v="171.6"/>
    <n v="153.80000000000001"/>
    <n v="145.4"/>
    <x v="180"/>
    <x v="243"/>
    <n v="155.9"/>
    <n v="114.9"/>
    <n v="162"/>
    <n v="150"/>
    <n v="162.69999999999999"/>
    <n v="163.4"/>
    <n v="183.4"/>
    <n v="156.30000000000001"/>
    <n v="151"/>
    <n v="155.5"/>
    <n v="147.5"/>
    <n v="152.80000000000001"/>
    <n v="160.4"/>
    <n v="146.1"/>
    <n v="153.6"/>
    <n v="161.6"/>
    <n v="156.19999999999999"/>
    <n v="154.5"/>
    <n v="159.80000000000001"/>
    <n v="163.4"/>
    <s v="NA"/>
    <n v="161.6"/>
    <n v="147.5"/>
    <n v="160.4"/>
    <n v="146.1"/>
    <n v="155.85"/>
    <n v="153.6"/>
    <n v="183.4"/>
    <n v="153.65"/>
    <n v="158.38888888888891"/>
  </r>
  <r>
    <x v="1"/>
    <x v="7"/>
    <x v="11"/>
    <n v="158"/>
    <n v="149.69999999999999"/>
    <n v="195.5"/>
    <n v="176.9"/>
    <n v="153.9"/>
    <n v="138"/>
    <x v="211"/>
    <x v="244"/>
    <n v="158.69999999999999"/>
    <n v="117.2"/>
    <n v="161.4"/>
    <n v="141.5"/>
    <n v="165.1"/>
    <n v="167"/>
    <n v="188.8"/>
    <n v="151.1"/>
    <n v="136.4"/>
    <n v="148.80000000000001"/>
    <n v="137.30000000000001"/>
    <n v="145.1"/>
    <n v="152"/>
    <n v="135.19999999999999"/>
    <n v="144.4"/>
    <n v="156.4"/>
    <n v="157.9"/>
    <n v="146.6"/>
    <n v="156.69999999999999"/>
    <n v="167"/>
    <n v="158"/>
    <n v="156.4"/>
    <n v="137.30000000000001"/>
    <n v="152"/>
    <n v="135.19999999999999"/>
    <n v="153.35000000000002"/>
    <n v="144.4"/>
    <n v="188.8"/>
    <n v="145.85"/>
    <n v="153.82999999999998"/>
  </r>
  <r>
    <x v="2"/>
    <x v="7"/>
    <x v="11"/>
    <n v="158"/>
    <n v="146.80000000000001"/>
    <n v="191"/>
    <n v="173.6"/>
    <n v="153.80000000000001"/>
    <n v="142.69999999999999"/>
    <x v="212"/>
    <x v="245"/>
    <n v="156.80000000000001"/>
    <n v="115.7"/>
    <n v="161.80000000000001"/>
    <n v="146.5"/>
    <n v="163.80000000000001"/>
    <n v="164.7"/>
    <n v="184.8"/>
    <n v="154.30000000000001"/>
    <n v="144.9"/>
    <n v="152.80000000000001"/>
    <n v="143.6"/>
    <n v="149.19999999999999"/>
    <n v="157.19999999999999"/>
    <n v="140.4"/>
    <n v="148.4"/>
    <n v="158.6"/>
    <n v="156.9"/>
    <n v="150.69999999999999"/>
    <n v="158.4"/>
    <n v="164.7"/>
    <n v="158"/>
    <n v="158.6"/>
    <n v="143.6"/>
    <n v="157.19999999999999"/>
    <n v="140.4"/>
    <n v="154.85000000000002"/>
    <n v="148.4"/>
    <n v="184.8"/>
    <n v="149.94999999999999"/>
    <n v="156.05000000000001"/>
  </r>
  <r>
    <x v="0"/>
    <x v="7"/>
    <x v="12"/>
    <s v="NA"/>
    <n v="144.6"/>
    <n v="188.5"/>
    <n v="173.4"/>
    <n v="154"/>
    <n v="150"/>
    <x v="213"/>
    <x v="246"/>
    <n v="159.5"/>
    <n v="114.4"/>
    <n v="163.5"/>
    <n v="153.4"/>
    <n v="163.6"/>
    <n v="164.5"/>
    <n v="183.6"/>
    <n v="157"/>
    <n v="151.6"/>
    <n v="156.30000000000001"/>
    <n v="148.69999999999999"/>
    <n v="153.4"/>
    <n v="161.6"/>
    <n v="146.4"/>
    <n v="153.9"/>
    <n v="162.9"/>
    <n v="156.6"/>
    <n v="155.19999999999999"/>
    <n v="160.69999999999999"/>
    <n v="164.5"/>
    <s v="NA"/>
    <n v="162.9"/>
    <n v="148.69999999999999"/>
    <n v="161.6"/>
    <n v="146.4"/>
    <n v="156.44999999999999"/>
    <n v="153.9"/>
    <n v="183.6"/>
    <n v="154.30000000000001"/>
    <n v="159.14999999999998"/>
  </r>
  <r>
    <x v="1"/>
    <x v="7"/>
    <x v="12"/>
    <n v="158.4"/>
    <n v="149"/>
    <n v="195.7"/>
    <n v="178.3"/>
    <n v="154.19999999999999"/>
    <n v="140.69999999999999"/>
    <x v="166"/>
    <x v="247"/>
    <n v="161.5"/>
    <n v="117.1"/>
    <n v="161.9"/>
    <n v="143.30000000000001"/>
    <n v="166.1"/>
    <n v="167"/>
    <n v="190.2"/>
    <n v="151.9"/>
    <n v="136.69999999999999"/>
    <n v="149.6"/>
    <n v="137.9"/>
    <n v="145.5"/>
    <n v="152.9"/>
    <n v="135.5"/>
    <n v="144.30000000000001"/>
    <n v="156.9"/>
    <n v="157.9"/>
    <n v="146.9"/>
    <n v="156.9"/>
    <n v="167"/>
    <n v="158.4"/>
    <n v="156.9"/>
    <n v="137.9"/>
    <n v="152.9"/>
    <n v="135.5"/>
    <n v="153.75"/>
    <n v="144.30000000000001"/>
    <n v="190.2"/>
    <n v="146.19999999999999"/>
    <n v="154.30500000000001"/>
  </r>
  <r>
    <x v="2"/>
    <x v="7"/>
    <x v="12"/>
    <n v="158.4"/>
    <n v="146"/>
    <n v="191"/>
    <n v="175.3"/>
    <n v="154.1"/>
    <n v="146.6"/>
    <x v="214"/>
    <x v="248"/>
    <n v="160.19999999999999"/>
    <n v="115.3"/>
    <n v="163"/>
    <n v="149.19999999999999"/>
    <n v="164.8"/>
    <n v="165.4"/>
    <n v="185.4"/>
    <n v="155"/>
    <n v="145.4"/>
    <n v="153.6"/>
    <n v="144.6"/>
    <n v="149.69999999999999"/>
    <n v="158.30000000000001"/>
    <n v="140.69999999999999"/>
    <n v="148.5"/>
    <n v="159.4"/>
    <n v="157.1"/>
    <n v="151.19999999999999"/>
    <n v="158.9"/>
    <n v="165.4"/>
    <n v="158.4"/>
    <n v="159.4"/>
    <n v="144.6"/>
    <n v="158.30000000000001"/>
    <n v="140.69999999999999"/>
    <n v="155.35"/>
    <n v="148.5"/>
    <n v="185.4"/>
    <n v="150.44999999999999"/>
    <n v="156.65000000000003"/>
  </r>
  <r>
    <x v="0"/>
    <x v="8"/>
    <x v="0"/>
    <s v="NA"/>
    <n v="143.4"/>
    <n v="187.5"/>
    <n v="173.4"/>
    <n v="154"/>
    <n v="154.80000000000001"/>
    <x v="207"/>
    <x v="249"/>
    <n v="159.5"/>
    <n v="113.8"/>
    <n v="164.5"/>
    <n v="156.1"/>
    <n v="164.3"/>
    <n v="159.6"/>
    <n v="184.6"/>
    <n v="157.5"/>
    <n v="152.4"/>
    <n v="156.80000000000001"/>
    <n v="150.9"/>
    <n v="153.9"/>
    <n v="162.5"/>
    <n v="147.5"/>
    <n v="155.1"/>
    <n v="163.5"/>
    <n v="156.19999999999999"/>
    <n v="155.9"/>
    <n v="158.5"/>
    <n v="159.6"/>
    <s v="NA"/>
    <n v="163.5"/>
    <n v="150.9"/>
    <n v="162.5"/>
    <n v="147.5"/>
    <n v="156.5"/>
    <n v="155.1"/>
    <n v="184.6"/>
    <n v="154.9"/>
    <n v="159.45555555555555"/>
  </r>
  <r>
    <x v="1"/>
    <x v="8"/>
    <x v="0"/>
    <n v="157.69999999999999"/>
    <n v="148"/>
    <n v="194.8"/>
    <n v="178.4"/>
    <n v="154.4"/>
    <n v="144.1"/>
    <x v="215"/>
    <x v="250"/>
    <n v="162.1"/>
    <n v="116.3"/>
    <n v="163"/>
    <n v="145.9"/>
    <n v="167.2"/>
    <n v="163.4"/>
    <n v="191.8"/>
    <n v="152.5"/>
    <n v="137.30000000000001"/>
    <n v="150.19999999999999"/>
    <n v="142.9"/>
    <n v="145.69999999999999"/>
    <n v="154.1"/>
    <n v="136.9"/>
    <n v="145.4"/>
    <n v="156.1"/>
    <n v="157.69999999999999"/>
    <n v="147.6"/>
    <n v="156"/>
    <n v="163.4"/>
    <n v="157.69999999999999"/>
    <n v="156.1"/>
    <n v="142.9"/>
    <n v="154.1"/>
    <n v="136.9"/>
    <n v="153.94999999999999"/>
    <n v="145.4"/>
    <n v="191.8"/>
    <n v="146.64999999999998"/>
    <n v="154.89000000000001"/>
  </r>
  <r>
    <x v="2"/>
    <x v="8"/>
    <x v="0"/>
    <n v="157.69999999999999"/>
    <n v="144.9"/>
    <n v="190.1"/>
    <n v="175.3"/>
    <n v="154.1"/>
    <n v="150.9"/>
    <x v="216"/>
    <x v="251"/>
    <n v="160.4"/>
    <n v="114.6"/>
    <n v="164"/>
    <n v="151.80000000000001"/>
    <n v="165.6"/>
    <n v="161"/>
    <n v="186.5"/>
    <n v="155.5"/>
    <n v="146.1"/>
    <n v="154.19999999999999"/>
    <n v="147.9"/>
    <n v="150"/>
    <n v="159.30000000000001"/>
    <n v="141.9"/>
    <n v="149.6"/>
    <n v="159.19999999999999"/>
    <n v="156.80000000000001"/>
    <n v="151.9"/>
    <n v="157.30000000000001"/>
    <n v="161"/>
    <n v="157.69999999999999"/>
    <n v="159.19999999999999"/>
    <n v="147.9"/>
    <n v="159.30000000000001"/>
    <n v="141.9"/>
    <n v="155.5"/>
    <n v="149.6"/>
    <n v="186.5"/>
    <n v="150.94999999999999"/>
    <n v="156.95499999999998"/>
  </r>
  <r>
    <x v="0"/>
    <x v="8"/>
    <x v="1"/>
    <s v="NA"/>
    <n v="142.80000000000001"/>
    <n v="184"/>
    <n v="168"/>
    <n v="154.4"/>
    <n v="163"/>
    <x v="139"/>
    <x v="252"/>
    <n v="158.30000000000001"/>
    <n v="111.8"/>
    <n v="165"/>
    <n v="160"/>
    <n v="165.8"/>
    <n v="154.69999999999999"/>
    <n v="186.5"/>
    <n v="159.1"/>
    <n v="153.9"/>
    <n v="158.4"/>
    <n v="154.4"/>
    <n v="154.80000000000001"/>
    <n v="164.3"/>
    <n v="150.19999999999999"/>
    <n v="157"/>
    <n v="163.6"/>
    <n v="155.19999999999999"/>
    <n v="157.19999999999999"/>
    <n v="156.69999999999999"/>
    <n v="154.69999999999999"/>
    <s v="NA"/>
    <n v="163.6"/>
    <n v="154.4"/>
    <n v="164.3"/>
    <n v="150.19999999999999"/>
    <n v="156.80000000000001"/>
    <n v="157"/>
    <n v="186.5"/>
    <n v="156"/>
    <n v="160.38888888888889"/>
  </r>
  <r>
    <x v="1"/>
    <x v="8"/>
    <x v="1"/>
    <n v="159.80000000000001"/>
    <n v="147.6"/>
    <n v="191.2"/>
    <n v="169.9"/>
    <n v="155.1"/>
    <n v="151.4"/>
    <x v="217"/>
    <x v="253"/>
    <n v="159.80000000000001"/>
    <n v="114.9"/>
    <n v="162.5"/>
    <n v="149.19999999999999"/>
    <n v="169.4"/>
    <n v="160.80000000000001"/>
    <n v="193.3"/>
    <n v="154.19999999999999"/>
    <n v="138.19999999999999"/>
    <n v="151.80000000000001"/>
    <n v="149.1"/>
    <n v="146.5"/>
    <n v="156.30000000000001"/>
    <n v="140.5"/>
    <n v="147.30000000000001"/>
    <n v="156.6"/>
    <n v="156.69999999999999"/>
    <n v="149.30000000000001"/>
    <n v="156.5"/>
    <n v="160.80000000000001"/>
    <n v="159.80000000000001"/>
    <n v="156.6"/>
    <n v="149.1"/>
    <n v="156.30000000000001"/>
    <n v="140.5"/>
    <n v="154.25"/>
    <n v="147.30000000000001"/>
    <n v="193.3"/>
    <n v="147.9"/>
    <n v="156.58500000000001"/>
  </r>
  <r>
    <x v="2"/>
    <x v="8"/>
    <x v="1"/>
    <n v="159.80000000000001"/>
    <n v="144.30000000000001"/>
    <n v="186.5"/>
    <n v="168.7"/>
    <n v="154.69999999999999"/>
    <n v="158.69999999999999"/>
    <x v="218"/>
    <x v="254"/>
    <n v="158.80000000000001"/>
    <n v="112.8"/>
    <n v="164.2"/>
    <n v="155.5"/>
    <n v="167.5"/>
    <n v="156.9"/>
    <n v="188.3"/>
    <n v="157.19999999999999"/>
    <n v="147.4"/>
    <n v="155.80000000000001"/>
    <n v="152.4"/>
    <n v="150.9"/>
    <n v="161.30000000000001"/>
    <n v="145.1"/>
    <n v="151.5"/>
    <n v="159.5"/>
    <n v="155.80000000000001"/>
    <n v="153.4"/>
    <n v="156.6"/>
    <n v="156.9"/>
    <n v="159.80000000000001"/>
    <n v="159.5"/>
    <n v="152.4"/>
    <n v="161.30000000000001"/>
    <n v="145.1"/>
    <n v="155.80000000000001"/>
    <n v="151.5"/>
    <n v="188.3"/>
    <n v="152.15"/>
    <n v="158.27500000000003"/>
  </r>
  <r>
    <x v="0"/>
    <x v="8"/>
    <x v="2"/>
    <s v="-"/>
    <n v="142.5"/>
    <n v="189.4"/>
    <n v="163.19999999999999"/>
    <n v="154.5"/>
    <n v="168.2"/>
    <x v="211"/>
    <x v="67"/>
    <n v="159.19999999999999"/>
    <n v="111.7"/>
    <n v="164"/>
    <n v="160.6"/>
    <n v="166.4"/>
    <n v="154.5"/>
    <n v="186.1"/>
    <n v="159.6"/>
    <n v="154.4"/>
    <n v="158.9"/>
    <n v="156"/>
    <n v="154.80000000000001"/>
    <n v="164.6"/>
    <n v="151.30000000000001"/>
    <n v="157.80000000000001"/>
    <n v="163.80000000000001"/>
    <n v="153.1"/>
    <n v="157.30000000000001"/>
    <n v="156.69999999999999"/>
    <n v="154.5"/>
    <s v="-"/>
    <n v="163.80000000000001"/>
    <n v="156"/>
    <n v="164.6"/>
    <n v="151.30000000000001"/>
    <n v="156"/>
    <n v="157.80000000000001"/>
    <n v="186.1"/>
    <n v="156.05000000000001"/>
    <n v="160.68333333333331"/>
  </r>
  <r>
    <x v="1"/>
    <x v="8"/>
    <x v="2"/>
    <n v="159.9"/>
    <n v="147.5"/>
    <n v="197.5"/>
    <n v="164.7"/>
    <n v="155.6"/>
    <n v="156.4"/>
    <x v="219"/>
    <x v="255"/>
    <n v="161.1"/>
    <n v="114.3"/>
    <n v="162.6"/>
    <n v="150.69999999999999"/>
    <n v="170.3"/>
    <n v="160.4"/>
    <n v="193.5"/>
    <n v="155.1"/>
    <n v="138.69999999999999"/>
    <n v="152.6"/>
    <n v="154.80000000000001"/>
    <n v="147.19999999999999"/>
    <n v="156.9"/>
    <n v="141.69999999999999"/>
    <n v="148.6"/>
    <n v="157.6"/>
    <n v="154.9"/>
    <n v="150"/>
    <n v="156.9"/>
    <n v="160.4"/>
    <n v="159.9"/>
    <n v="157.6"/>
    <n v="154.80000000000001"/>
    <n v="156.9"/>
    <n v="141.69999999999999"/>
    <n v="153.75"/>
    <n v="148.6"/>
    <n v="193.5"/>
    <n v="148.6"/>
    <n v="157.57499999999999"/>
  </r>
  <r>
    <x v="2"/>
    <x v="8"/>
    <x v="2"/>
    <n v="159.9"/>
    <n v="144.1"/>
    <n v="192.2"/>
    <n v="163.80000000000001"/>
    <n v="154.9"/>
    <n v="163.9"/>
    <x v="220"/>
    <x v="123"/>
    <n v="159.80000000000001"/>
    <n v="112.6"/>
    <n v="163.5"/>
    <n v="156.5"/>
    <n v="168.2"/>
    <n v="156.69999999999999"/>
    <n v="188.1"/>
    <n v="157.80000000000001"/>
    <n v="147.9"/>
    <n v="156.4"/>
    <n v="155.5"/>
    <n v="151.19999999999999"/>
    <n v="161.69999999999999"/>
    <n v="146.19999999999999"/>
    <n v="152.6"/>
    <n v="160.19999999999999"/>
    <n v="153.80000000000001"/>
    <n v="153.80000000000001"/>
    <n v="156.80000000000001"/>
    <n v="156.69999999999999"/>
    <n v="159.9"/>
    <n v="160.19999999999999"/>
    <n v="155.5"/>
    <n v="161.69999999999999"/>
    <n v="146.19999999999999"/>
    <n v="155.10000000000002"/>
    <n v="152.6"/>
    <n v="188.1"/>
    <n v="152.5"/>
    <n v="158.85"/>
  </r>
  <r>
    <x v="0"/>
    <x v="8"/>
    <x v="3"/>
    <s v="-"/>
    <n v="142.69999999999999"/>
    <n v="195.5"/>
    <n v="163.4"/>
    <n v="155"/>
    <n v="175.2"/>
    <x v="221"/>
    <x v="172"/>
    <n v="161.1"/>
    <n v="112.2"/>
    <n v="164.4"/>
    <n v="161.9"/>
    <n v="166.8"/>
    <n v="155.6"/>
    <n v="186.8"/>
    <n v="160.69999999999999"/>
    <n v="155.1"/>
    <n v="159.9"/>
    <n v="156"/>
    <n v="155.5"/>
    <n v="165.3"/>
    <n v="151.69999999999999"/>
    <n v="158.6"/>
    <n v="164.1"/>
    <n v="154.6"/>
    <n v="158"/>
    <n v="157.6"/>
    <n v="155.6"/>
    <s v="-"/>
    <n v="164.1"/>
    <n v="156"/>
    <n v="165.3"/>
    <n v="151.69999999999999"/>
    <n v="157.25"/>
    <n v="158.6"/>
    <n v="186.8"/>
    <n v="156.75"/>
    <n v="161.34444444444443"/>
  </r>
  <r>
    <x v="1"/>
    <x v="8"/>
    <x v="3"/>
    <n v="161.4"/>
    <n v="147.6"/>
    <n v="202.5"/>
    <n v="166.4"/>
    <n v="156"/>
    <n v="161.4"/>
    <x v="222"/>
    <x v="201"/>
    <n v="162.80000000000001"/>
    <n v="114.8"/>
    <n v="162.80000000000001"/>
    <n v="151.5"/>
    <n v="171.4"/>
    <n v="162"/>
    <n v="194.4"/>
    <n v="155.9"/>
    <n v="139.30000000000001"/>
    <n v="153.4"/>
    <n v="154.9"/>
    <n v="147.6"/>
    <n v="157.5"/>
    <n v="142.1"/>
    <n v="149.1"/>
    <n v="157.6"/>
    <n v="156.6"/>
    <n v="150.5"/>
    <n v="158"/>
    <n v="162"/>
    <n v="161.4"/>
    <n v="157.6"/>
    <n v="154.9"/>
    <n v="157.5"/>
    <n v="142.1"/>
    <n v="155"/>
    <n v="149.1"/>
    <n v="194.4"/>
    <n v="149.05000000000001"/>
    <n v="158.30500000000001"/>
  </r>
  <r>
    <x v="2"/>
    <x v="8"/>
    <x v="3"/>
    <n v="161.4"/>
    <n v="144.30000000000001"/>
    <n v="198"/>
    <n v="164.6"/>
    <n v="155.4"/>
    <n v="170.1"/>
    <x v="223"/>
    <x v="103"/>
    <n v="161.69999999999999"/>
    <n v="113.1"/>
    <n v="163.9"/>
    <n v="157.6"/>
    <n v="168.9"/>
    <n v="158"/>
    <n v="188.8"/>
    <n v="158.80000000000001"/>
    <n v="148.5"/>
    <n v="157.30000000000001"/>
    <n v="155.6"/>
    <n v="151.80000000000001"/>
    <n v="162.30000000000001"/>
    <n v="146.6"/>
    <n v="153.19999999999999"/>
    <n v="160.30000000000001"/>
    <n v="155.4"/>
    <n v="154.4"/>
    <n v="157.80000000000001"/>
    <n v="158"/>
    <n v="161.4"/>
    <n v="160.30000000000001"/>
    <n v="155.6"/>
    <n v="162.30000000000001"/>
    <n v="146.6"/>
    <n v="156.35000000000002"/>
    <n v="153.19999999999999"/>
    <n v="188.8"/>
    <n v="153.10000000000002"/>
    <n v="159.565"/>
  </r>
  <r>
    <x v="0"/>
    <x v="8"/>
    <x v="4"/>
    <s v="NA"/>
    <n v="145.1"/>
    <n v="198.5"/>
    <n v="168.6"/>
    <n v="155.80000000000001"/>
    <n v="184.4"/>
    <x v="224"/>
    <x v="256"/>
    <n v="165.1"/>
    <n v="114.3"/>
    <n v="169.7"/>
    <n v="164.6"/>
    <n v="169.8"/>
    <n v="158.69999999999999"/>
    <n v="189.6"/>
    <n v="165.3"/>
    <n v="160.6"/>
    <n v="164.5"/>
    <n v="161.69999999999999"/>
    <n v="158.80000000000001"/>
    <n v="169.1"/>
    <n v="153.19999999999999"/>
    <n v="160"/>
    <n v="167.6"/>
    <n v="159.30000000000001"/>
    <n v="161.1"/>
    <n v="161.1"/>
    <n v="158.69999999999999"/>
    <s v="NA"/>
    <n v="167.6"/>
    <n v="161.69999999999999"/>
    <n v="169.1"/>
    <n v="153.19999999999999"/>
    <n v="161.9"/>
    <n v="160"/>
    <n v="189.6"/>
    <n v="159.94999999999999"/>
    <n v="164.63888888888886"/>
  </r>
  <r>
    <x v="1"/>
    <x v="8"/>
    <x v="4"/>
    <n v="161.6"/>
    <n v="148.80000000000001"/>
    <n v="204.3"/>
    <n v="173"/>
    <n v="156.5"/>
    <n v="168.8"/>
    <x v="225"/>
    <x v="257"/>
    <n v="165.9"/>
    <n v="115.9"/>
    <n v="165.2"/>
    <n v="152"/>
    <n v="171.1"/>
    <n v="164.2"/>
    <n v="198.2"/>
    <n v="156.5"/>
    <n v="140.19999999999999"/>
    <n v="154.1"/>
    <n v="155.5"/>
    <n v="150.1"/>
    <n v="160.4"/>
    <n v="145"/>
    <n v="152.6"/>
    <n v="156.6"/>
    <n v="157.5"/>
    <n v="152.30000000000001"/>
    <n v="159.5"/>
    <n v="164.2"/>
    <n v="161.6"/>
    <n v="156.6"/>
    <n v="155.5"/>
    <n v="160.4"/>
    <n v="145"/>
    <n v="155.80000000000001"/>
    <n v="152.6"/>
    <n v="198.2"/>
    <n v="151.19999999999999"/>
    <n v="160.10999999999999"/>
  </r>
  <r>
    <x v="2"/>
    <x v="8"/>
    <x v="4"/>
    <n v="161.6"/>
    <n v="146.30000000000001"/>
    <n v="200.5"/>
    <n v="170.3"/>
    <n v="156.1"/>
    <n v="178.7"/>
    <x v="226"/>
    <x v="258"/>
    <n v="165.4"/>
    <n v="114.8"/>
    <n v="168.2"/>
    <n v="159.30000000000001"/>
    <n v="170.4"/>
    <n v="160.69999999999999"/>
    <n v="191.9"/>
    <n v="161.80000000000001"/>
    <n v="152.1"/>
    <n v="160.4"/>
    <n v="159.4"/>
    <n v="154.69999999999999"/>
    <n v="165.8"/>
    <n v="148.9"/>
    <n v="155.80000000000001"/>
    <n v="161.19999999999999"/>
    <n v="158.6"/>
    <n v="156.80000000000001"/>
    <n v="160.4"/>
    <n v="160.69999999999999"/>
    <n v="161.6"/>
    <n v="161.19999999999999"/>
    <n v="159.4"/>
    <n v="165.8"/>
    <n v="148.9"/>
    <n v="159.5"/>
    <n v="155.80000000000001"/>
    <n v="191.9"/>
    <n v="155.75"/>
    <n v="162.05500000000001"/>
  </r>
  <r>
    <x v="0"/>
    <x v="8"/>
    <x v="5"/>
    <s v="NA"/>
    <n v="145.6"/>
    <n v="200.1"/>
    <n v="179.3"/>
    <n v="156.1"/>
    <n v="190.4"/>
    <x v="227"/>
    <x v="259"/>
    <n v="165.5"/>
    <n v="114.6"/>
    <n v="170"/>
    <n v="165.5"/>
    <n v="171.7"/>
    <n v="160.5"/>
    <n v="189.1"/>
    <n v="165.3"/>
    <n v="159.9"/>
    <n v="164.6"/>
    <n v="162.1"/>
    <n v="159.19999999999999"/>
    <n v="169.7"/>
    <n v="154.19999999999999"/>
    <n v="160.4"/>
    <n v="166.8"/>
    <n v="159.4"/>
    <n v="161.5"/>
    <n v="162.1"/>
    <n v="160.5"/>
    <s v="NA"/>
    <n v="166.8"/>
    <n v="162.1"/>
    <n v="169.7"/>
    <n v="154.19999999999999"/>
    <n v="162"/>
    <n v="160.4"/>
    <n v="189.1"/>
    <n v="160.35"/>
    <n v="165.01666666666665"/>
  </r>
  <r>
    <x v="1"/>
    <x v="8"/>
    <x v="5"/>
    <n v="160.5"/>
    <n v="149.19999999999999"/>
    <n v="205.5"/>
    <n v="182.8"/>
    <n v="156.5"/>
    <n v="172.2"/>
    <x v="228"/>
    <x v="260"/>
    <n v="166.9"/>
    <n v="116.1"/>
    <n v="165.5"/>
    <n v="152.30000000000001"/>
    <n v="173.3"/>
    <n v="166.2"/>
    <n v="195.6"/>
    <n v="157.30000000000001"/>
    <n v="140.5"/>
    <n v="154.80000000000001"/>
    <n v="156.1"/>
    <n v="149.80000000000001"/>
    <n v="160.80000000000001"/>
    <n v="147.5"/>
    <n v="150.69999999999999"/>
    <n v="158.1"/>
    <n v="158"/>
    <n v="153.4"/>
    <n v="160.4"/>
    <n v="166.2"/>
    <n v="160.5"/>
    <n v="158.1"/>
    <n v="156.1"/>
    <n v="160.80000000000001"/>
    <n v="147.5"/>
    <n v="156.4"/>
    <n v="150.69999999999999"/>
    <n v="195.6"/>
    <n v="151.60000000000002"/>
    <n v="160.35"/>
  </r>
  <r>
    <x v="2"/>
    <x v="8"/>
    <x v="5"/>
    <n v="160.5"/>
    <n v="146.69999999999999"/>
    <n v="202"/>
    <n v="180.7"/>
    <n v="156.19999999999999"/>
    <n v="183.7"/>
    <x v="229"/>
    <x v="261"/>
    <n v="166"/>
    <n v="115.1"/>
    <n v="168.5"/>
    <n v="160"/>
    <n v="172.4"/>
    <n v="162.6"/>
    <n v="190.8"/>
    <n v="162.19999999999999"/>
    <n v="151.80000000000001"/>
    <n v="160.69999999999999"/>
    <n v="159.80000000000001"/>
    <n v="154.80000000000001"/>
    <n v="166.3"/>
    <n v="150.69999999999999"/>
    <n v="154.9"/>
    <n v="161.69999999999999"/>
    <n v="158.80000000000001"/>
    <n v="157.6"/>
    <n v="161.30000000000001"/>
    <n v="162.6"/>
    <n v="160.5"/>
    <n v="161.69999999999999"/>
    <n v="159.80000000000001"/>
    <n v="166.3"/>
    <n v="150.69999999999999"/>
    <n v="159.75"/>
    <n v="154.9"/>
    <n v="190.8"/>
    <n v="156.19999999999999"/>
    <n v="162.32500000000002"/>
  </r>
  <r>
    <x v="0"/>
    <x v="8"/>
    <x v="6"/>
    <s v="NA"/>
    <n v="145.1"/>
    <n v="204.5"/>
    <n v="180.4"/>
    <n v="157.1"/>
    <n v="188.7"/>
    <x v="230"/>
    <x v="262"/>
    <n v="163.6"/>
    <n v="113.9"/>
    <n v="169.7"/>
    <n v="166.2"/>
    <n v="171"/>
    <n v="161.69999999999999"/>
    <n v="189.7"/>
    <n v="166"/>
    <n v="161.1"/>
    <n v="165.3"/>
    <n v="162.5"/>
    <n v="160.30000000000001"/>
    <n v="170.4"/>
    <n v="157.1"/>
    <n v="160.69999999999999"/>
    <n v="167.2"/>
    <n v="160.4"/>
    <n v="162.80000000000001"/>
    <n v="163.19999999999999"/>
    <n v="161.69999999999999"/>
    <s v="NA"/>
    <n v="167.2"/>
    <n v="162.5"/>
    <n v="170.4"/>
    <n v="157.1"/>
    <n v="162.85000000000002"/>
    <n v="160.69999999999999"/>
    <n v="189.7"/>
    <n v="161.55000000000001"/>
    <n v="165.96666666666667"/>
  </r>
  <r>
    <x v="1"/>
    <x v="8"/>
    <x v="6"/>
    <n v="161.5"/>
    <n v="149.1"/>
    <n v="210.9"/>
    <n v="185"/>
    <n v="158.19999999999999"/>
    <n v="170.6"/>
    <x v="231"/>
    <x v="263"/>
    <n v="164.7"/>
    <n v="115.7"/>
    <n v="165.5"/>
    <n v="153.4"/>
    <n v="173.5"/>
    <n v="167.9"/>
    <n v="195.5"/>
    <n v="157.9"/>
    <n v="141.9"/>
    <n v="155.5"/>
    <n v="157.69999999999999"/>
    <n v="150.69999999999999"/>
    <n v="161.5"/>
    <n v="149.5"/>
    <n v="151.19999999999999"/>
    <n v="160.30000000000001"/>
    <n v="159.6"/>
    <n v="155"/>
    <n v="161.80000000000001"/>
    <n v="167.9"/>
    <n v="161.5"/>
    <n v="160.30000000000001"/>
    <n v="157.69999999999999"/>
    <n v="161.5"/>
    <n v="149.5"/>
    <n v="157.55000000000001"/>
    <n v="151.19999999999999"/>
    <n v="195.5"/>
    <n v="152.85"/>
    <n v="161.55000000000001"/>
  </r>
  <r>
    <x v="2"/>
    <x v="8"/>
    <x v="6"/>
    <n v="161.5"/>
    <n v="146.4"/>
    <n v="206.8"/>
    <n v="182.2"/>
    <n v="157.5"/>
    <n v="182.1"/>
    <x v="232"/>
    <x v="264"/>
    <n v="164"/>
    <n v="114.5"/>
    <n v="168.3"/>
    <n v="160.9"/>
    <n v="172.2"/>
    <n v="164"/>
    <n v="191.2"/>
    <n v="162.80000000000001"/>
    <n v="153.1"/>
    <n v="161.4"/>
    <n v="160.69999999999999"/>
    <n v="155.80000000000001"/>
    <n v="167"/>
    <n v="153.1"/>
    <n v="155.30000000000001"/>
    <n v="163.19999999999999"/>
    <n v="160.1"/>
    <n v="159"/>
    <n v="162.5"/>
    <n v="164"/>
    <n v="161.5"/>
    <n v="163.19999999999999"/>
    <n v="160.69999999999999"/>
    <n v="167"/>
    <n v="153.1"/>
    <n v="160.75"/>
    <n v="155.30000000000001"/>
    <n v="191.2"/>
    <n v="157.4"/>
    <n v="163.41500000000002"/>
  </r>
  <r>
    <x v="0"/>
    <x v="8"/>
    <x v="7"/>
    <s v="NA"/>
    <n v="144.9"/>
    <n v="202.3"/>
    <n v="176.5"/>
    <n v="157.5"/>
    <n v="190.9"/>
    <x v="209"/>
    <x v="265"/>
    <n v="162.80000000000001"/>
    <n v="115.2"/>
    <n v="169.8"/>
    <n v="167.6"/>
    <n v="171.9"/>
    <n v="161.80000000000001"/>
    <n v="190.2"/>
    <n v="167"/>
    <n v="162.6"/>
    <n v="166.3"/>
    <n v="163.1"/>
    <n v="160.9"/>
    <n v="171.1"/>
    <n v="157.69999999999999"/>
    <n v="161.1"/>
    <n v="167.5"/>
    <n v="160.30000000000001"/>
    <n v="163.30000000000001"/>
    <n v="163.6"/>
    <n v="161.80000000000001"/>
    <s v="NA"/>
    <n v="167.5"/>
    <n v="163.1"/>
    <n v="171.1"/>
    <n v="157.69999999999999"/>
    <n v="163.30000000000001"/>
    <n v="161.1"/>
    <n v="190.2"/>
    <n v="162.10000000000002"/>
    <n v="166.43333333333334"/>
  </r>
  <r>
    <x v="1"/>
    <x v="8"/>
    <x v="7"/>
    <n v="162.1"/>
    <n v="149.30000000000001"/>
    <n v="207.4"/>
    <n v="174.1"/>
    <n v="159.19999999999999"/>
    <n v="175"/>
    <x v="233"/>
    <x v="266"/>
    <n v="164.5"/>
    <n v="120.4"/>
    <n v="166.2"/>
    <n v="154.80000000000001"/>
    <n v="175.1"/>
    <n v="167.3"/>
    <n v="196.5"/>
    <n v="159.80000000000001"/>
    <n v="143.6"/>
    <n v="157.30000000000001"/>
    <n v="160.69999999999999"/>
    <n v="153.19999999999999"/>
    <n v="162.80000000000001"/>
    <n v="150.4"/>
    <n v="153.69999999999999"/>
    <n v="160.4"/>
    <n v="159.6"/>
    <n v="156"/>
    <n v="162.30000000000001"/>
    <n v="167.3"/>
    <n v="162.1"/>
    <n v="160.4"/>
    <n v="160.69999999999999"/>
    <n v="162.80000000000001"/>
    <n v="150.4"/>
    <n v="158.44999999999999"/>
    <n v="153.69999999999999"/>
    <n v="196.5"/>
    <n v="154.6"/>
    <n v="162.69499999999999"/>
  </r>
  <r>
    <x v="2"/>
    <x v="8"/>
    <x v="7"/>
    <n v="162.1"/>
    <n v="146.6"/>
    <n v="204"/>
    <n v="172.8"/>
    <n v="158.4"/>
    <n v="188"/>
    <x v="234"/>
    <x v="94"/>
    <n v="164.1"/>
    <n v="119.7"/>
    <n v="168.8"/>
    <n v="162.69999999999999"/>
    <n v="173.9"/>
    <n v="164"/>
    <n v="192.1"/>
    <n v="164.5"/>
    <n v="155.30000000000001"/>
    <n v="163.19999999999999"/>
    <n v="162.6"/>
    <n v="157.5"/>
    <n v="168.4"/>
    <n v="154"/>
    <n v="157.6"/>
    <n v="163.80000000000001"/>
    <n v="160"/>
    <n v="160"/>
    <n v="163.19999999999999"/>
    <n v="164"/>
    <n v="162.1"/>
    <n v="163.80000000000001"/>
    <n v="162.6"/>
    <n v="168.4"/>
    <n v="154"/>
    <n v="161.6"/>
    <n v="157.6"/>
    <n v="192.1"/>
    <n v="158.75"/>
    <n v="164.49499999999998"/>
  </r>
  <r>
    <x v="0"/>
    <x v="8"/>
    <x v="8"/>
    <s v="NA"/>
    <n v="145.4"/>
    <n v="202.1"/>
    <n v="172"/>
    <n v="158"/>
    <n v="195.5"/>
    <x v="235"/>
    <x v="113"/>
    <n v="163.9"/>
    <n v="119.3"/>
    <n v="170.1"/>
    <n v="168.3"/>
    <n v="172.8"/>
    <n v="162.1"/>
    <n v="190.5"/>
    <n v="167.7"/>
    <n v="163.6"/>
    <n v="167.1"/>
    <n v="163.69999999999999"/>
    <n v="161.30000000000001"/>
    <n v="171.9"/>
    <n v="157.80000000000001"/>
    <n v="162.69999999999999"/>
    <n v="168.5"/>
    <n v="160.19999999999999"/>
    <n v="163.80000000000001"/>
    <n v="164"/>
    <n v="162.1"/>
    <s v="NA"/>
    <n v="168.5"/>
    <n v="163.69999999999999"/>
    <n v="171.9"/>
    <n v="157.80000000000001"/>
    <n v="163.64999999999998"/>
    <n v="162.69999999999999"/>
    <n v="190.5"/>
    <n v="162.55000000000001"/>
    <n v="167.04444444444442"/>
  </r>
  <r>
    <x v="1"/>
    <x v="8"/>
    <x v="8"/>
    <n v="162.1"/>
    <n v="149.30000000000001"/>
    <n v="207.4"/>
    <n v="174.1"/>
    <n v="159.1"/>
    <n v="175"/>
    <x v="236"/>
    <x v="26"/>
    <n v="164.5"/>
    <n v="120.4"/>
    <n v="166.2"/>
    <n v="154.80000000000001"/>
    <n v="175.1"/>
    <n v="167.3"/>
    <n v="196.5"/>
    <n v="159.80000000000001"/>
    <n v="143.6"/>
    <n v="157.4"/>
    <n v="160.80000000000001"/>
    <n v="153.30000000000001"/>
    <n v="162.80000000000001"/>
    <n v="150.5"/>
    <n v="153.9"/>
    <n v="160.30000000000001"/>
    <n v="159.6"/>
    <n v="156"/>
    <n v="162.30000000000001"/>
    <n v="167.3"/>
    <n v="162.1"/>
    <n v="160.30000000000001"/>
    <n v="160.80000000000001"/>
    <n v="162.80000000000001"/>
    <n v="150.5"/>
    <n v="158.5"/>
    <n v="153.9"/>
    <n v="196.5"/>
    <n v="154.65"/>
    <n v="162.73500000000001"/>
  </r>
  <r>
    <x v="2"/>
    <x v="8"/>
    <x v="8"/>
    <n v="162.1"/>
    <n v="146.6"/>
    <n v="204"/>
    <n v="172.8"/>
    <n v="158.4"/>
    <n v="188"/>
    <x v="237"/>
    <x v="267"/>
    <n v="164.1"/>
    <n v="119.7"/>
    <n v="168.8"/>
    <n v="162.69999999999999"/>
    <n v="173.9"/>
    <n v="164"/>
    <n v="192.1"/>
    <n v="164.6"/>
    <n v="155.30000000000001"/>
    <n v="163.30000000000001"/>
    <n v="162.6"/>
    <n v="157.5"/>
    <n v="168.4"/>
    <n v="154"/>
    <n v="157.69999999999999"/>
    <n v="163.69999999999999"/>
    <n v="160"/>
    <n v="160"/>
    <n v="163.19999999999999"/>
    <n v="164"/>
    <n v="162.1"/>
    <n v="163.69999999999999"/>
    <n v="162.6"/>
    <n v="168.4"/>
    <n v="154"/>
    <n v="161.65"/>
    <n v="157.69999999999999"/>
    <n v="192.1"/>
    <n v="158.75"/>
    <n v="164.5"/>
  </r>
  <r>
    <x v="0"/>
    <x v="8"/>
    <x v="9"/>
    <s v="NA"/>
    <n v="146.1"/>
    <n v="202.5"/>
    <n v="170.1"/>
    <n v="158.4"/>
    <n v="198.8"/>
    <x v="215"/>
    <x v="268"/>
    <n v="165.2"/>
    <n v="121.6"/>
    <n v="170.6"/>
    <n v="168.8"/>
    <n v="173.6"/>
    <n v="165.5"/>
    <n v="191.2"/>
    <n v="168.9"/>
    <n v="164.8"/>
    <n v="168.3"/>
    <n v="165.5"/>
    <n v="162"/>
    <n v="172.5"/>
    <n v="159.5"/>
    <n v="163.19999999999999"/>
    <n v="169"/>
    <n v="161.1"/>
    <n v="164.7"/>
    <n v="166.3"/>
    <n v="165.5"/>
    <s v="NA"/>
    <n v="169"/>
    <n v="165.5"/>
    <n v="172.5"/>
    <n v="159.5"/>
    <n v="164.7"/>
    <n v="163.19999999999999"/>
    <n v="191.2"/>
    <n v="163.35"/>
    <n v="168.27222222222224"/>
  </r>
  <r>
    <x v="1"/>
    <x v="8"/>
    <x v="9"/>
    <n v="163.6"/>
    <n v="150.1"/>
    <n v="208.4"/>
    <n v="173"/>
    <n v="159.19999999999999"/>
    <n v="176.6"/>
    <x v="238"/>
    <x v="269"/>
    <n v="165.3"/>
    <n v="122.5"/>
    <n v="166.8"/>
    <n v="155.4"/>
    <n v="175.9"/>
    <n v="171.5"/>
    <n v="197"/>
    <n v="160.80000000000001"/>
    <n v="144.4"/>
    <n v="158.30000000000001"/>
    <n v="162.19999999999999"/>
    <n v="154.30000000000001"/>
    <n v="163.5"/>
    <n v="152.19999999999999"/>
    <n v="155.1"/>
    <n v="160.30000000000001"/>
    <n v="160.30000000000001"/>
    <n v="157"/>
    <n v="164.6"/>
    <n v="171.5"/>
    <n v="163.6"/>
    <n v="160.30000000000001"/>
    <n v="162.19999999999999"/>
    <n v="163.5"/>
    <n v="152.19999999999999"/>
    <n v="159.30000000000001"/>
    <n v="155.1"/>
    <n v="197"/>
    <n v="155.65"/>
    <n v="164.035"/>
  </r>
  <r>
    <x v="2"/>
    <x v="8"/>
    <x v="9"/>
    <n v="163.6"/>
    <n v="147.4"/>
    <n v="204.6"/>
    <n v="171.2"/>
    <n v="158.69999999999999"/>
    <n v="190.6"/>
    <x v="209"/>
    <x v="270"/>
    <n v="165.2"/>
    <n v="121.9"/>
    <n v="169.3"/>
    <n v="163.19999999999999"/>
    <n v="174.7"/>
    <n v="167.7"/>
    <n v="192.7"/>
    <n v="165.7"/>
    <n v="156.30000000000001"/>
    <n v="164.3"/>
    <n v="164.2"/>
    <n v="158.4"/>
    <n v="169.1"/>
    <n v="155.69999999999999"/>
    <n v="158.6"/>
    <n v="163.9"/>
    <n v="160.80000000000001"/>
    <n v="161"/>
    <n v="165.5"/>
    <n v="167.7"/>
    <n v="163.6"/>
    <n v="163.9"/>
    <n v="164.2"/>
    <n v="169.1"/>
    <n v="155.69999999999999"/>
    <n v="162.55000000000001"/>
    <n v="158.6"/>
    <n v="192.7"/>
    <n v="159.69999999999999"/>
    <n v="165.77499999999998"/>
  </r>
  <r>
    <x v="0"/>
    <x v="8"/>
    <x v="11"/>
    <s v="NA"/>
    <n v="146.9"/>
    <n v="199.8"/>
    <n v="171.5"/>
    <n v="159.1"/>
    <n v="198.4"/>
    <x v="164"/>
    <x v="271"/>
    <n v="165.4"/>
    <n v="122.1"/>
    <n v="170.8"/>
    <n v="169.1"/>
    <n v="174.3"/>
    <n v="167.5"/>
    <n v="191.4"/>
    <n v="170.4"/>
    <n v="166"/>
    <n v="169.8"/>
    <n v="165.3"/>
    <n v="162.9"/>
    <n v="173.4"/>
    <n v="158.9"/>
    <n v="163.80000000000001"/>
    <n v="169.3"/>
    <n v="162.4"/>
    <n v="165.2"/>
    <n v="167.6"/>
    <n v="167.5"/>
    <s v="NA"/>
    <n v="169.3"/>
    <n v="165.3"/>
    <n v="173.4"/>
    <n v="158.9"/>
    <n v="166.10000000000002"/>
    <n v="163.80000000000001"/>
    <n v="191.4"/>
    <n v="164.05"/>
    <n v="168.86111111111111"/>
  </r>
  <r>
    <x v="1"/>
    <x v="8"/>
    <x v="11"/>
    <n v="164.2"/>
    <n v="151"/>
    <n v="204.9"/>
    <n v="175.4"/>
    <n v="159.6"/>
    <n v="175.8"/>
    <x v="239"/>
    <x v="272"/>
    <n v="165.1"/>
    <n v="123.1"/>
    <n v="167.2"/>
    <n v="156.1"/>
    <n v="176.8"/>
    <n v="173.5"/>
    <n v="197"/>
    <n v="162.30000000000001"/>
    <n v="145.30000000000001"/>
    <n v="159.69999999999999"/>
    <n v="161.6"/>
    <n v="155.19999999999999"/>
    <n v="164.2"/>
    <n v="151.19999999999999"/>
    <n v="156.69999999999999"/>
    <n v="160.80000000000001"/>
    <n v="161.80000000000001"/>
    <n v="157.30000000000001"/>
    <n v="165.6"/>
    <n v="173.5"/>
    <n v="164.2"/>
    <n v="160.80000000000001"/>
    <n v="161.6"/>
    <n v="164.2"/>
    <n v="151.19999999999999"/>
    <n v="160.75"/>
    <n v="156.69999999999999"/>
    <n v="197"/>
    <n v="156.25"/>
    <n v="164.62"/>
  </r>
  <r>
    <x v="2"/>
    <x v="8"/>
    <x v="11"/>
    <n v="164.2"/>
    <n v="148.19999999999999"/>
    <n v="201.6"/>
    <n v="173"/>
    <n v="159.30000000000001"/>
    <n v="190.1"/>
    <x v="240"/>
    <x v="273"/>
    <n v="165.3"/>
    <n v="122.4"/>
    <n v="169.6"/>
    <n v="163.69999999999999"/>
    <n v="175.5"/>
    <n v="169.7"/>
    <n v="192.9"/>
    <n v="167.2"/>
    <n v="157.4"/>
    <n v="165.8"/>
    <n v="163.9"/>
    <n v="159.30000000000001"/>
    <n v="169.9"/>
    <n v="154.80000000000001"/>
    <n v="159.80000000000001"/>
    <n v="164.3"/>
    <n v="162.19999999999999"/>
    <n v="161.4"/>
    <n v="166.7"/>
    <n v="169.7"/>
    <n v="164.2"/>
    <n v="164.3"/>
    <n v="163.9"/>
    <n v="169.9"/>
    <n v="154.80000000000001"/>
    <n v="164"/>
    <n v="159.80000000000001"/>
    <n v="192.9"/>
    <n v="160.35000000000002"/>
    <n v="166.38499999999999"/>
  </r>
  <r>
    <x v="0"/>
    <x v="8"/>
    <x v="12"/>
    <s v="NA"/>
    <n v="147.4"/>
    <n v="197"/>
    <n v="176.5"/>
    <n v="159.80000000000001"/>
    <n v="195.8"/>
    <x v="241"/>
    <x v="274"/>
    <n v="164.5"/>
    <n v="120.6"/>
    <n v="171.7"/>
    <n v="169.7"/>
    <n v="175.1"/>
    <n v="165.8"/>
    <n v="190.8"/>
    <n v="171.8"/>
    <n v="167.3"/>
    <n v="171.2"/>
    <n v="165.6"/>
    <n v="163.9"/>
    <n v="174"/>
    <n v="160.1"/>
    <n v="164.5"/>
    <n v="169.7"/>
    <n v="162.80000000000001"/>
    <n v="166"/>
    <n v="167"/>
    <n v="165.8"/>
    <s v="NA"/>
    <n v="169.7"/>
    <n v="165.6"/>
    <n v="174"/>
    <n v="160.1"/>
    <n v="167"/>
    <n v="164.5"/>
    <n v="190.8"/>
    <n v="164.95"/>
    <n v="169.16111111111113"/>
  </r>
  <r>
    <x v="1"/>
    <x v="8"/>
    <x v="12"/>
    <n v="163.4"/>
    <n v="151.6"/>
    <n v="202.2"/>
    <n v="180"/>
    <n v="160"/>
    <n v="173.5"/>
    <x v="242"/>
    <x v="275"/>
    <n v="164.2"/>
    <n v="121.9"/>
    <n v="168.2"/>
    <n v="156.5"/>
    <n v="178.2"/>
    <n v="172.2"/>
    <n v="196.8"/>
    <n v="163.30000000000001"/>
    <n v="146.69999999999999"/>
    <n v="160.69999999999999"/>
    <n v="161.69999999999999"/>
    <n v="156"/>
    <n v="165.1"/>
    <n v="151.80000000000001"/>
    <n v="157.6"/>
    <n v="160.6"/>
    <n v="162.4"/>
    <n v="157.80000000000001"/>
    <n v="165.2"/>
    <n v="172.2"/>
    <n v="163.4"/>
    <n v="160.6"/>
    <n v="161.69999999999999"/>
    <n v="165.1"/>
    <n v="151.80000000000001"/>
    <n v="161.55000000000001"/>
    <n v="157.6"/>
    <n v="196.8"/>
    <n v="156.9"/>
    <n v="164.76500000000001"/>
  </r>
  <r>
    <x v="2"/>
    <x v="8"/>
    <x v="12"/>
    <n v="163.4"/>
    <n v="148.69999999999999"/>
    <n v="198.8"/>
    <n v="177.9"/>
    <n v="159.9"/>
    <n v="187.6"/>
    <x v="243"/>
    <x v="276"/>
    <n v="164.4"/>
    <n v="121"/>
    <n v="170.5"/>
    <n v="164.2"/>
    <n v="176.5"/>
    <n v="168.2"/>
    <n v="192.4"/>
    <n v="168.5"/>
    <n v="158.69999999999999"/>
    <n v="167"/>
    <n v="164.1"/>
    <n v="160.19999999999999"/>
    <n v="170.6"/>
    <n v="155.69999999999999"/>
    <n v="160.6"/>
    <n v="164.4"/>
    <n v="162.6"/>
    <n v="162"/>
    <n v="166.2"/>
    <n v="168.2"/>
    <n v="163.4"/>
    <n v="164.4"/>
    <n v="164.1"/>
    <n v="170.6"/>
    <n v="155.69999999999999"/>
    <n v="164.8"/>
    <n v="160.6"/>
    <n v="192.4"/>
    <n v="161.1"/>
    <n v="166.53"/>
  </r>
  <r>
    <x v="0"/>
    <x v="9"/>
    <x v="0"/>
    <s v="NA"/>
    <n v="148.30000000000001"/>
    <n v="196.9"/>
    <n v="178"/>
    <n v="160.5"/>
    <n v="192.6"/>
    <x v="210"/>
    <x v="180"/>
    <n v="164"/>
    <n v="119.3"/>
    <n v="173.3"/>
    <n v="169.8"/>
    <n v="175.8"/>
    <n v="164.1"/>
    <n v="190.7"/>
    <n v="173.2"/>
    <n v="169.3"/>
    <n v="172.7"/>
    <n v="165.8"/>
    <n v="164.9"/>
    <n v="174.7"/>
    <n v="160.80000000000001"/>
    <n v="164.9"/>
    <n v="169.9"/>
    <n v="163.19999999999999"/>
    <n v="166.6"/>
    <n v="166.4"/>
    <n v="164.1"/>
    <s v="NA"/>
    <n v="169.9"/>
    <n v="165.8"/>
    <n v="174.7"/>
    <n v="160.80000000000001"/>
    <n v="167.95"/>
    <n v="164.9"/>
    <n v="190.7"/>
    <n v="165.75"/>
    <n v="169.4"/>
  </r>
  <r>
    <x v="1"/>
    <x v="9"/>
    <x v="0"/>
    <n v="164.5"/>
    <n v="152.19999999999999"/>
    <n v="202.1"/>
    <n v="180.1"/>
    <n v="160.4"/>
    <n v="171"/>
    <x v="240"/>
    <x v="277"/>
    <n v="163.80000000000001"/>
    <n v="121.3"/>
    <n v="169.8"/>
    <n v="156.6"/>
    <n v="179"/>
    <n v="170.3"/>
    <n v="196.4"/>
    <n v="164.7"/>
    <n v="148.5"/>
    <n v="162.19999999999999"/>
    <n v="161.6"/>
    <n v="156.80000000000001"/>
    <n v="166.1"/>
    <n v="152.69999999999999"/>
    <n v="158.4"/>
    <n v="161"/>
    <n v="162.80000000000001"/>
    <n v="158.6"/>
    <n v="165"/>
    <n v="170.3"/>
    <n v="164.5"/>
    <n v="161"/>
    <n v="161.6"/>
    <n v="166.1"/>
    <n v="152.69999999999999"/>
    <n v="162.5"/>
    <n v="158.4"/>
    <n v="196.4"/>
    <n v="157.69999999999999"/>
    <n v="165.12000000000003"/>
  </r>
  <r>
    <x v="2"/>
    <x v="9"/>
    <x v="0"/>
    <n v="164.5"/>
    <n v="149.5"/>
    <n v="198.7"/>
    <n v="178.8"/>
    <n v="160.5"/>
    <n v="184.7"/>
    <x v="220"/>
    <x v="24"/>
    <n v="163.9"/>
    <n v="120"/>
    <n v="172.1"/>
    <n v="164.3"/>
    <n v="177.3"/>
    <n v="166.4"/>
    <n v="192.2"/>
    <n v="169.9"/>
    <n v="160.69999999999999"/>
    <n v="168.5"/>
    <n v="164.2"/>
    <n v="161.1"/>
    <n v="171.4"/>
    <n v="156.5"/>
    <n v="161.19999999999999"/>
    <n v="164.7"/>
    <n v="163"/>
    <n v="162.69999999999999"/>
    <n v="165.7"/>
    <n v="166.4"/>
    <n v="164.5"/>
    <n v="164.7"/>
    <n v="164.2"/>
    <n v="171.4"/>
    <n v="156.5"/>
    <n v="165.75"/>
    <n v="161.19999999999999"/>
    <n v="192.2"/>
    <n v="161.89999999999998"/>
    <n v="166.875"/>
  </r>
  <r>
    <x v="0"/>
    <x v="9"/>
    <x v="1"/>
    <s v="NA"/>
    <n v="148.80000000000001"/>
    <n v="198.1"/>
    <n v="175.5"/>
    <n v="160.69999999999999"/>
    <n v="192.6"/>
    <x v="244"/>
    <x v="97"/>
    <n v="163.9"/>
    <n v="118.1"/>
    <n v="175.4"/>
    <n v="170.5"/>
    <n v="176.3"/>
    <n v="163.9"/>
    <n v="191.5"/>
    <n v="174.1"/>
    <n v="171"/>
    <n v="173.7"/>
    <n v="167.4"/>
    <n v="165.7"/>
    <n v="175.3"/>
    <n v="161.19999999999999"/>
    <n v="165.5"/>
    <n v="170.3"/>
    <n v="164.5"/>
    <n v="167.3"/>
    <n v="166.7"/>
    <n v="163.9"/>
    <s v="NA"/>
    <n v="170.3"/>
    <n v="167.4"/>
    <n v="175.3"/>
    <n v="161.19999999999999"/>
    <n v="169.1"/>
    <n v="165.5"/>
    <n v="191.5"/>
    <n v="166.5"/>
    <n v="170.07777777777781"/>
  </r>
  <r>
    <x v="1"/>
    <x v="9"/>
    <x v="1"/>
    <n v="165.5"/>
    <n v="152.5"/>
    <n v="205.2"/>
    <n v="176.4"/>
    <n v="160.6"/>
    <n v="171.5"/>
    <x v="156"/>
    <x v="278"/>
    <n v="163.19999999999999"/>
    <n v="120.6"/>
    <n v="172.2"/>
    <n v="156.69999999999999"/>
    <n v="180"/>
    <n v="170.2"/>
    <n v="196.5"/>
    <n v="165.7"/>
    <n v="150.4"/>
    <n v="163.4"/>
    <n v="163"/>
    <n v="157.4"/>
    <n v="167.2"/>
    <n v="153.1"/>
    <n v="159.5"/>
    <n v="162"/>
    <n v="164.2"/>
    <n v="159.4"/>
    <n v="165.5"/>
    <n v="170.2"/>
    <n v="165.5"/>
    <n v="162"/>
    <n v="163"/>
    <n v="167.2"/>
    <n v="153.1"/>
    <n v="163.80000000000001"/>
    <n v="159.5"/>
    <n v="196.5"/>
    <n v="158.4"/>
    <n v="165.92000000000002"/>
  </r>
  <r>
    <x v="2"/>
    <x v="9"/>
    <x v="1"/>
    <n v="165.5"/>
    <n v="150"/>
    <n v="200.6"/>
    <n v="175.8"/>
    <n v="160.69999999999999"/>
    <n v="184.9"/>
    <x v="220"/>
    <x v="279"/>
    <n v="163.69999999999999"/>
    <n v="118.9"/>
    <n v="174.3"/>
    <n v="164.7"/>
    <n v="178"/>
    <n v="166.2"/>
    <n v="192.8"/>
    <n v="170.8"/>
    <n v="162.4"/>
    <n v="169.6"/>
    <n v="165.7"/>
    <n v="161.80000000000001"/>
    <n v="172.2"/>
    <n v="156.9"/>
    <n v="162.1"/>
    <n v="165.4"/>
    <n v="164.4"/>
    <n v="163.5"/>
    <n v="166.1"/>
    <n v="166.2"/>
    <n v="165.5"/>
    <n v="165.4"/>
    <n v="165.7"/>
    <n v="172.2"/>
    <n v="156.9"/>
    <n v="167"/>
    <n v="162.1"/>
    <n v="192.8"/>
    <n v="162.65"/>
    <n v="167.64500000000001"/>
  </r>
  <r>
    <x v="0"/>
    <x v="9"/>
    <x v="2"/>
    <s v="NA"/>
    <n v="150.19999999999999"/>
    <n v="208"/>
    <n v="167.9"/>
    <n v="162"/>
    <n v="203.1"/>
    <x v="245"/>
    <x v="280"/>
    <n v="164.2"/>
    <n v="118.1"/>
    <n v="178.7"/>
    <n v="171.2"/>
    <n v="177.4"/>
    <n v="166.6"/>
    <n v="192.3"/>
    <n v="175.4"/>
    <n v="173.2"/>
    <n v="175.1"/>
    <n v="168.9"/>
    <n v="166.5"/>
    <n v="176"/>
    <n v="162"/>
    <n v="166.6"/>
    <n v="170.6"/>
    <n v="167.4"/>
    <n v="168.3"/>
    <n v="168.7"/>
    <n v="166.6"/>
    <s v="NA"/>
    <n v="170.6"/>
    <n v="168.9"/>
    <n v="176"/>
    <n v="162"/>
    <n v="171.25"/>
    <n v="166.6"/>
    <n v="192.3"/>
    <n v="167.4"/>
    <n v="171.29444444444445"/>
  </r>
  <r>
    <x v="1"/>
    <x v="9"/>
    <x v="2"/>
    <n v="165.3"/>
    <n v="153.69999999999999"/>
    <n v="215.8"/>
    <n v="167.7"/>
    <n v="162.6"/>
    <n v="180"/>
    <x v="246"/>
    <x v="214"/>
    <n v="163.4"/>
    <n v="120.3"/>
    <n v="174.7"/>
    <n v="157.1"/>
    <n v="181.5"/>
    <n v="171.5"/>
    <n v="197.5"/>
    <n v="167.1"/>
    <n v="152.6"/>
    <n v="164.9"/>
    <n v="164.5"/>
    <n v="158.6"/>
    <n v="168.2"/>
    <n v="154.19999999999999"/>
    <n v="160.80000000000001"/>
    <n v="162.69999999999999"/>
    <n v="166.8"/>
    <n v="160.6"/>
    <n v="166.5"/>
    <n v="171.5"/>
    <n v="165.3"/>
    <n v="162.69999999999999"/>
    <n v="164.5"/>
    <n v="168.2"/>
    <n v="154.19999999999999"/>
    <n v="165.85000000000002"/>
    <n v="160.80000000000001"/>
    <n v="197.5"/>
    <n v="159.6"/>
    <n v="167.01499999999999"/>
  </r>
  <r>
    <x v="2"/>
    <x v="9"/>
    <x v="2"/>
    <n v="165.3"/>
    <n v="151.30000000000001"/>
    <n v="210.7"/>
    <n v="167.8"/>
    <n v="162.19999999999999"/>
    <n v="194.6"/>
    <x v="247"/>
    <x v="281"/>
    <n v="163.9"/>
    <n v="118.8"/>
    <n v="177.4"/>
    <n v="165.3"/>
    <n v="179.3"/>
    <n v="168.4"/>
    <n v="193.7"/>
    <n v="172.1"/>
    <n v="164.6"/>
    <n v="171.1"/>
    <n v="167.2"/>
    <n v="162.80000000000001"/>
    <n v="173"/>
    <n v="157.9"/>
    <n v="163.30000000000001"/>
    <n v="166"/>
    <n v="167.2"/>
    <n v="164.6"/>
    <n v="167.7"/>
    <n v="168.4"/>
    <n v="165.3"/>
    <n v="166"/>
    <n v="167.2"/>
    <n v="173"/>
    <n v="157.9"/>
    <n v="169.14999999999998"/>
    <n v="163.30000000000001"/>
    <n v="193.7"/>
    <n v="163.69999999999999"/>
    <n v="168.76500000000001"/>
  </r>
  <r>
    <x v="0"/>
    <x v="9"/>
    <x v="3"/>
    <s v="NA"/>
    <n v="151.80000000000001"/>
    <n v="209.7"/>
    <n v="164.5"/>
    <n v="163.80000000000001"/>
    <n v="207.4"/>
    <x v="248"/>
    <x v="89"/>
    <n v="165.1"/>
    <n v="118.2"/>
    <n v="182.9"/>
    <n v="172.4"/>
    <n v="178.9"/>
    <n v="168.6"/>
    <n v="192.8"/>
    <n v="177.5"/>
    <n v="175.1"/>
    <n v="177.1"/>
    <n v="173.3"/>
    <n v="167.7"/>
    <n v="177"/>
    <n v="166.2"/>
    <n v="167.2"/>
    <n v="170.9"/>
    <n v="169"/>
    <n v="170.2"/>
    <n v="170.8"/>
    <n v="168.6"/>
    <s v="NA"/>
    <n v="170.9"/>
    <n v="173.3"/>
    <n v="177"/>
    <n v="166.2"/>
    <n v="173.05"/>
    <n v="167.2"/>
    <n v="192.8"/>
    <n v="168.95"/>
    <n v="173.11111111111111"/>
  </r>
  <r>
    <x v="1"/>
    <x v="9"/>
    <x v="3"/>
    <n v="167"/>
    <n v="155.4"/>
    <n v="215.8"/>
    <n v="164.6"/>
    <n v="164.2"/>
    <n v="186"/>
    <x v="249"/>
    <x v="282"/>
    <n v="164"/>
    <n v="120.5"/>
    <n v="178"/>
    <n v="157.5"/>
    <n v="183.3"/>
    <n v="174.5"/>
    <n v="197.1"/>
    <n v="168.4"/>
    <n v="154.5"/>
    <n v="166.3"/>
    <n v="170.5"/>
    <n v="159.80000000000001"/>
    <n v="169"/>
    <n v="159.30000000000001"/>
    <n v="162.19999999999999"/>
    <n v="164"/>
    <n v="168.4"/>
    <n v="163.1"/>
    <n v="169.2"/>
    <n v="174.5"/>
    <n v="167"/>
    <n v="164"/>
    <n v="170.5"/>
    <n v="169"/>
    <n v="159.30000000000001"/>
    <n v="167.35000000000002"/>
    <n v="162.19999999999999"/>
    <n v="197.1"/>
    <n v="161.44999999999999"/>
    <n v="169.24"/>
  </r>
  <r>
    <x v="2"/>
    <x v="9"/>
    <x v="3"/>
    <n v="167"/>
    <n v="152.9"/>
    <n v="211.8"/>
    <n v="164.5"/>
    <n v="163.9"/>
    <n v="199.5"/>
    <x v="250"/>
    <x v="283"/>
    <n v="164.7"/>
    <n v="119"/>
    <n v="181.3"/>
    <n v="166.2"/>
    <n v="180.9"/>
    <n v="170.8"/>
    <n v="193.9"/>
    <n v="173.9"/>
    <n v="166.5"/>
    <n v="172.8"/>
    <n v="172.2"/>
    <n v="164"/>
    <n v="174"/>
    <n v="162.6"/>
    <n v="164.4"/>
    <n v="166.9"/>
    <n v="168.8"/>
    <n v="166.8"/>
    <n v="170.1"/>
    <n v="170.8"/>
    <n v="167"/>
    <n v="166.9"/>
    <n v="172.2"/>
    <n v="174"/>
    <n v="162.6"/>
    <n v="170.8"/>
    <n v="164.4"/>
    <n v="193.9"/>
    <n v="165.4"/>
    <n v="170.80000000000004"/>
  </r>
  <r>
    <x v="0"/>
    <x v="9"/>
    <x v="4"/>
    <s v="NA"/>
    <n v="152.9"/>
    <n v="214.7"/>
    <n v="161.4"/>
    <n v="164.6"/>
    <n v="209.9"/>
    <x v="251"/>
    <x v="96"/>
    <n v="165"/>
    <n v="118.9"/>
    <n v="186.6"/>
    <n v="173.2"/>
    <n v="180.4"/>
    <n v="170.8"/>
    <n v="192.9"/>
    <n v="179.3"/>
    <n v="177.2"/>
    <n v="179"/>
    <n v="175.3"/>
    <n v="168.9"/>
    <n v="177.7"/>
    <n v="167.1"/>
    <n v="167.6"/>
    <n v="171.8"/>
    <n v="168.5"/>
    <n v="170.9"/>
    <n v="172.5"/>
    <n v="170.8"/>
    <s v="NA"/>
    <n v="171.8"/>
    <n v="175.3"/>
    <n v="177.7"/>
    <n v="167.1"/>
    <n v="173.75"/>
    <n v="167.6"/>
    <n v="192.9"/>
    <n v="169.9"/>
    <n v="174.09444444444449"/>
  </r>
  <r>
    <x v="1"/>
    <x v="9"/>
    <x v="4"/>
    <n v="167.5"/>
    <n v="156.69999999999999"/>
    <n v="221.2"/>
    <n v="164.1"/>
    <n v="165.4"/>
    <n v="189.5"/>
    <x v="252"/>
    <x v="284"/>
    <n v="164.1"/>
    <n v="121.2"/>
    <n v="181.4"/>
    <n v="158.5"/>
    <n v="184.9"/>
    <n v="177.5"/>
    <n v="197.5"/>
    <n v="170"/>
    <n v="155.9"/>
    <n v="167.8"/>
    <n v="173.5"/>
    <n v="161.1"/>
    <n v="170.1"/>
    <n v="159.4"/>
    <n v="163.19999999999999"/>
    <n v="165.2"/>
    <n v="168.2"/>
    <n v="163.80000000000001"/>
    <n v="170.8"/>
    <n v="177.5"/>
    <n v="167.5"/>
    <n v="165.2"/>
    <n v="173.5"/>
    <n v="170.1"/>
    <n v="159.4"/>
    <n v="168"/>
    <n v="163.19999999999999"/>
    <n v="197.5"/>
    <n v="162.44999999999999"/>
    <n v="170.435"/>
  </r>
  <r>
    <x v="2"/>
    <x v="9"/>
    <x v="4"/>
    <n v="167.5"/>
    <n v="154.1"/>
    <n v="217"/>
    <n v="162.4"/>
    <n v="164.9"/>
    <n v="202.4"/>
    <x v="253"/>
    <x v="285"/>
    <n v="164.7"/>
    <n v="119.7"/>
    <n v="184.9"/>
    <n v="167.1"/>
    <n v="182.5"/>
    <n v="173.3"/>
    <n v="194.1"/>
    <n v="175.6"/>
    <n v="168.4"/>
    <n v="174.6"/>
    <n v="174.6"/>
    <n v="165.2"/>
    <n v="174.8"/>
    <n v="163"/>
    <n v="165.1"/>
    <n v="167.9"/>
    <n v="168.4"/>
    <n v="167.5"/>
    <n v="171.7"/>
    <n v="173.3"/>
    <n v="167.5"/>
    <n v="167.9"/>
    <n v="174.6"/>
    <n v="174.8"/>
    <n v="163"/>
    <n v="171.5"/>
    <n v="165.1"/>
    <n v="194.1"/>
    <n v="166.35"/>
    <n v="171.815"/>
  </r>
  <r>
    <x v="0"/>
    <x v="9"/>
    <x v="5"/>
    <s v="NA"/>
    <n v="153.80000000000001"/>
    <n v="217.2"/>
    <n v="169.6"/>
    <n v="165.4"/>
    <n v="208.1"/>
    <x v="254"/>
    <x v="286"/>
    <n v="164.6"/>
    <n v="119.1"/>
    <n v="188.9"/>
    <n v="174.2"/>
    <n v="181.9"/>
    <n v="172.4"/>
    <n v="192.9"/>
    <n v="180.7"/>
    <n v="178.7"/>
    <n v="180.4"/>
    <n v="176.7"/>
    <n v="170.3"/>
    <n v="178.2"/>
    <n v="165.5"/>
    <n v="168"/>
    <n v="172.6"/>
    <n v="169.5"/>
    <n v="171"/>
    <n v="173.6"/>
    <n v="172.4"/>
    <s v="NA"/>
    <n v="172.6"/>
    <n v="176.7"/>
    <n v="178.2"/>
    <n v="165.5"/>
    <n v="174.95"/>
    <n v="168"/>
    <n v="192.9"/>
    <n v="170.65"/>
    <n v="174.65555555555559"/>
  </r>
  <r>
    <x v="1"/>
    <x v="9"/>
    <x v="5"/>
    <n v="166.8"/>
    <n v="157.5"/>
    <n v="223.4"/>
    <n v="172.8"/>
    <n v="166.4"/>
    <n v="188.6"/>
    <x v="255"/>
    <x v="287"/>
    <n v="163.6"/>
    <n v="121.4"/>
    <n v="183.5"/>
    <n v="159.1"/>
    <n v="186.3"/>
    <n v="179.3"/>
    <n v="198.3"/>
    <n v="171.6"/>
    <n v="157.4"/>
    <n v="169.4"/>
    <n v="174.9"/>
    <n v="162.1"/>
    <n v="170.9"/>
    <n v="157.19999999999999"/>
    <n v="164.1"/>
    <n v="166.5"/>
    <n v="169.2"/>
    <n v="163.80000000000001"/>
    <n v="171.4"/>
    <n v="179.3"/>
    <n v="166.8"/>
    <n v="166.5"/>
    <n v="174.9"/>
    <n v="170.9"/>
    <n v="157.19999999999999"/>
    <n v="169.3"/>
    <n v="164.1"/>
    <n v="198.3"/>
    <n v="162.94999999999999"/>
    <n v="171.02499999999998"/>
  </r>
  <r>
    <x v="2"/>
    <x v="9"/>
    <x v="5"/>
    <n v="166.8"/>
    <n v="155"/>
    <n v="219.4"/>
    <n v="170.8"/>
    <n v="165.8"/>
    <n v="200.9"/>
    <x v="248"/>
    <x v="288"/>
    <n v="164.3"/>
    <n v="119.9"/>
    <n v="187.1"/>
    <n v="167.9"/>
    <n v="183.9"/>
    <n v="174.9"/>
    <n v="194.3"/>
    <n v="177.1"/>
    <n v="169.9"/>
    <n v="176"/>
    <n v="176"/>
    <n v="166.4"/>
    <n v="175.4"/>
    <n v="161.1"/>
    <n v="165.8"/>
    <n v="169"/>
    <n v="169.4"/>
    <n v="167.5"/>
    <n v="172.6"/>
    <n v="174.9"/>
    <n v="166.8"/>
    <n v="169"/>
    <n v="176"/>
    <n v="175.4"/>
    <n v="161.1"/>
    <n v="172.7"/>
    <n v="165.8"/>
    <n v="194.3"/>
    <n v="166.95"/>
    <n v="172.29500000000002"/>
  </r>
  <r>
    <x v="0"/>
    <x v="9"/>
    <x v="6"/>
    <s v="NA"/>
    <n v="155.19999999999999"/>
    <n v="210.8"/>
    <n v="174.3"/>
    <n v="166.3"/>
    <n v="202.2"/>
    <x v="256"/>
    <x v="58"/>
    <n v="164.4"/>
    <n v="119.2"/>
    <n v="191.8"/>
    <n v="174.5"/>
    <n v="183.1"/>
    <n v="172.5"/>
    <n v="193.2"/>
    <n v="182"/>
    <n v="180.3"/>
    <n v="181.7"/>
    <n v="179.6"/>
    <n v="171.3"/>
    <n v="178.8"/>
    <n v="166.3"/>
    <n v="168.6"/>
    <n v="174.7"/>
    <n v="169.7"/>
    <n v="171.8"/>
    <n v="174.3"/>
    <n v="172.5"/>
    <s v="NA"/>
    <n v="174.7"/>
    <n v="179.6"/>
    <n v="178.8"/>
    <n v="166.3"/>
    <n v="175.7"/>
    <n v="168.6"/>
    <n v="193.2"/>
    <n v="171.55"/>
    <n v="175.6611111111111"/>
  </r>
  <r>
    <x v="1"/>
    <x v="9"/>
    <x v="6"/>
    <n v="167.8"/>
    <n v="159.30000000000001"/>
    <n v="217.1"/>
    <n v="176.6"/>
    <n v="167.1"/>
    <n v="184.8"/>
    <x v="257"/>
    <x v="289"/>
    <n v="164"/>
    <n v="121.5"/>
    <n v="186.3"/>
    <n v="159.80000000000001"/>
    <n v="187.7"/>
    <n v="179.4"/>
    <n v="198.6"/>
    <n v="172.7"/>
    <n v="158.69999999999999"/>
    <n v="170.6"/>
    <n v="179.5"/>
    <n v="163.1"/>
    <n v="171.7"/>
    <n v="157.4"/>
    <n v="164.6"/>
    <n v="169.1"/>
    <n v="169.8"/>
    <n v="164.7"/>
    <n v="172.3"/>
    <n v="179.4"/>
    <n v="167.8"/>
    <n v="169.1"/>
    <n v="179.5"/>
    <n v="171.7"/>
    <n v="157.4"/>
    <n v="170.2"/>
    <n v="164.6"/>
    <n v="198.6"/>
    <n v="163.89999999999998"/>
    <n v="172.21999999999997"/>
  </r>
  <r>
    <x v="2"/>
    <x v="9"/>
    <x v="6"/>
    <n v="167.8"/>
    <n v="156.5"/>
    <n v="213"/>
    <n v="175.2"/>
    <n v="166.6"/>
    <n v="195.8"/>
    <x v="258"/>
    <x v="290"/>
    <n v="164.3"/>
    <n v="120"/>
    <n v="190"/>
    <n v="168.4"/>
    <n v="185.2"/>
    <n v="175"/>
    <n v="194.6"/>
    <n v="178.3"/>
    <n v="171.3"/>
    <n v="177.3"/>
    <n v="179.6"/>
    <n v="167.4"/>
    <n v="176.1"/>
    <n v="161.6"/>
    <n v="166.3"/>
    <n v="171.4"/>
    <n v="169.7"/>
    <n v="168.4"/>
    <n v="173.4"/>
    <n v="175"/>
    <n v="167.8"/>
    <n v="171.4"/>
    <n v="179.6"/>
    <n v="176.1"/>
    <n v="161.6"/>
    <n v="173.5"/>
    <n v="166.3"/>
    <n v="194.6"/>
    <n v="167.9"/>
    <n v="173.38"/>
  </r>
  <r>
    <x v="0"/>
    <x v="9"/>
    <x v="7"/>
    <s v="NA"/>
    <n v="159.5"/>
    <n v="204.1"/>
    <n v="168.3"/>
    <n v="167.9"/>
    <n v="198.1"/>
    <x v="259"/>
    <x v="291"/>
    <n v="167.1"/>
    <n v="120.2"/>
    <n v="195.6"/>
    <n v="174.8"/>
    <n v="184"/>
    <n v="173.9"/>
    <n v="193.7"/>
    <n v="183.2"/>
    <n v="181.7"/>
    <n v="183"/>
    <n v="179.1"/>
    <n v="172.3"/>
    <n v="179.4"/>
    <n v="166.6"/>
    <n v="169.3"/>
    <n v="175.7"/>
    <n v="171.1"/>
    <n v="172.6"/>
    <n v="175.3"/>
    <n v="173.9"/>
    <s v="NA"/>
    <n v="175.7"/>
    <n v="179.1"/>
    <n v="179.4"/>
    <n v="166.6"/>
    <n v="177.05"/>
    <n v="169.3"/>
    <n v="193.7"/>
    <n v="172.45"/>
    <n v="176.35555555555555"/>
  </r>
  <r>
    <x v="1"/>
    <x v="9"/>
    <x v="7"/>
    <n v="169"/>
    <n v="162.1"/>
    <n v="210.9"/>
    <n v="170.6"/>
    <n v="168.4"/>
    <n v="182.5"/>
    <x v="260"/>
    <x v="292"/>
    <n v="167.3"/>
    <n v="122.2"/>
    <n v="189.7"/>
    <n v="160.5"/>
    <n v="188.9"/>
    <n v="180.4"/>
    <n v="198.7"/>
    <n v="173.7"/>
    <n v="160"/>
    <n v="171.6"/>
    <n v="178.4"/>
    <n v="164.2"/>
    <n v="172.6"/>
    <n v="157.69999999999999"/>
    <n v="165.1"/>
    <n v="169.9"/>
    <n v="171.4"/>
    <n v="165.4"/>
    <n v="173.1"/>
    <n v="180.4"/>
    <n v="169"/>
    <n v="169.9"/>
    <n v="178.4"/>
    <n v="172.6"/>
    <n v="157.69999999999999"/>
    <n v="171.5"/>
    <n v="165.1"/>
    <n v="198.7"/>
    <n v="164.8"/>
    <n v="172.81"/>
  </r>
  <r>
    <x v="2"/>
    <x v="9"/>
    <x v="7"/>
    <n v="169"/>
    <n v="160.30000000000001"/>
    <n v="206.5"/>
    <n v="169.2"/>
    <n v="168.1"/>
    <n v="192.4"/>
    <x v="261"/>
    <x v="239"/>
    <n v="167.2"/>
    <n v="120.9"/>
    <n v="193.6"/>
    <n v="168.8"/>
    <n v="186.3"/>
    <n v="176.3"/>
    <n v="195"/>
    <n v="179.5"/>
    <n v="172.7"/>
    <n v="178.5"/>
    <n v="178.8"/>
    <n v="168.5"/>
    <n v="176.8"/>
    <n v="161.9"/>
    <n v="166.9"/>
    <n v="172.3"/>
    <n v="171.2"/>
    <n v="169.1"/>
    <n v="174.3"/>
    <n v="176.3"/>
    <n v="169"/>
    <n v="172.3"/>
    <n v="178.8"/>
    <n v="176.8"/>
    <n v="161.9"/>
    <n v="174.85"/>
    <n v="166.9"/>
    <n v="195"/>
    <n v="168.8"/>
    <n v="174.065"/>
  </r>
  <r>
    <x v="0"/>
    <x v="9"/>
    <x v="8"/>
    <s v="NA"/>
    <n v="162.9"/>
    <n v="206.7"/>
    <n v="169"/>
    <n v="169.5"/>
    <n v="194.1"/>
    <x v="262"/>
    <x v="293"/>
    <n v="169"/>
    <n v="120.8"/>
    <n v="199.1"/>
    <n v="175.4"/>
    <n v="184.8"/>
    <n v="175.5"/>
    <n v="194.5"/>
    <n v="184.7"/>
    <n v="183.3"/>
    <n v="184.5"/>
    <n v="179.7"/>
    <n v="173.6"/>
    <n v="180.2"/>
    <n v="166.9"/>
    <n v="170"/>
    <n v="176.2"/>
    <n v="170.8"/>
    <n v="173.1"/>
    <n v="176.4"/>
    <n v="175.5"/>
    <s v="NA"/>
    <n v="176.2"/>
    <n v="179.7"/>
    <n v="180.2"/>
    <n v="166.9"/>
    <n v="177.65"/>
    <n v="170"/>
    <n v="194.5"/>
    <n v="173.35"/>
    <n v="177.11111111111109"/>
  </r>
  <r>
    <x v="1"/>
    <x v="9"/>
    <x v="8"/>
    <n v="169.5"/>
    <n v="164.9"/>
    <n v="213.7"/>
    <n v="170.9"/>
    <n v="170.1"/>
    <n v="179.3"/>
    <x v="263"/>
    <x v="294"/>
    <n v="169.2"/>
    <n v="123.1"/>
    <n v="193.6"/>
    <n v="161.1"/>
    <n v="190.4"/>
    <n v="181.8"/>
    <n v="199.7"/>
    <n v="175"/>
    <n v="161.69999999999999"/>
    <n v="173"/>
    <n v="179.2"/>
    <n v="165"/>
    <n v="173.8"/>
    <n v="158.19999999999999"/>
    <n v="165.8"/>
    <n v="170.9"/>
    <n v="171.1"/>
    <n v="166.1"/>
    <n v="174.1"/>
    <n v="181.8"/>
    <n v="169.5"/>
    <n v="170.9"/>
    <n v="179.2"/>
    <n v="173.8"/>
    <n v="158.19999999999999"/>
    <n v="172.05"/>
    <n v="165.8"/>
    <n v="199.7"/>
    <n v="165.55"/>
    <n v="173.65"/>
  </r>
  <r>
    <x v="2"/>
    <x v="9"/>
    <x v="8"/>
    <n v="169.5"/>
    <n v="163.5"/>
    <n v="209.2"/>
    <n v="169.7"/>
    <n v="169.7"/>
    <n v="188.7"/>
    <x v="264"/>
    <x v="295"/>
    <n v="169.1"/>
    <n v="121.6"/>
    <n v="197.3"/>
    <n v="169.4"/>
    <n v="187.4"/>
    <n v="177.8"/>
    <n v="195.9"/>
    <n v="180.9"/>
    <n v="174.3"/>
    <n v="179.9"/>
    <n v="179.5"/>
    <n v="169.5"/>
    <n v="177.8"/>
    <n v="162.30000000000001"/>
    <n v="167.6"/>
    <n v="173.1"/>
    <n v="170.9"/>
    <n v="169.7"/>
    <n v="175.3"/>
    <n v="177.8"/>
    <n v="169.5"/>
    <n v="173.1"/>
    <n v="179.5"/>
    <n v="177.8"/>
    <n v="162.30000000000001"/>
    <n v="175.4"/>
    <n v="167.6"/>
    <n v="195.9"/>
    <n v="169.6"/>
    <n v="174.85"/>
  </r>
  <r>
    <x v="0"/>
    <x v="9"/>
    <x v="9"/>
    <s v="NA"/>
    <n v="164.7"/>
    <n v="208.8"/>
    <n v="170.3"/>
    <n v="170.9"/>
    <n v="191.6"/>
    <x v="265"/>
    <x v="296"/>
    <n v="169.7"/>
    <n v="121.1"/>
    <n v="201.6"/>
    <n v="175.8"/>
    <n v="185.6"/>
    <n v="177.4"/>
    <n v="194.9"/>
    <n v="186.1"/>
    <n v="184.4"/>
    <n v="185.9"/>
    <n v="180.8"/>
    <n v="174.4"/>
    <n v="181.2"/>
    <n v="167.4"/>
    <n v="170.6"/>
    <n v="176.5"/>
    <n v="172"/>
    <n v="173.9"/>
    <n v="177.9"/>
    <n v="177.4"/>
    <s v="NA"/>
    <n v="176.5"/>
    <n v="180.8"/>
    <n v="181.2"/>
    <n v="167.4"/>
    <n v="178.95"/>
    <n v="170.6"/>
    <n v="194.9"/>
    <n v="174.15"/>
    <n v="177.98888888888891"/>
  </r>
  <r>
    <x v="1"/>
    <x v="9"/>
    <x v="9"/>
    <n v="171.2"/>
    <n v="166.4"/>
    <n v="214.9"/>
    <n v="171.9"/>
    <n v="171"/>
    <n v="177.7"/>
    <x v="264"/>
    <x v="297"/>
    <n v="169.9"/>
    <n v="123.4"/>
    <n v="196.4"/>
    <n v="161.6"/>
    <n v="191.5"/>
    <n v="183.3"/>
    <n v="200.1"/>
    <n v="175.5"/>
    <n v="162.6"/>
    <n v="173.6"/>
    <n v="180"/>
    <n v="166"/>
    <n v="174.7"/>
    <n v="158.80000000000001"/>
    <n v="166.3"/>
    <n v="171.2"/>
    <n v="172.3"/>
    <n v="166.8"/>
    <n v="175.3"/>
    <n v="183.3"/>
    <n v="171.2"/>
    <n v="171.2"/>
    <n v="180"/>
    <n v="174.7"/>
    <n v="158.80000000000001"/>
    <n v="172.95"/>
    <n v="166.3"/>
    <n v="200.1"/>
    <n v="166.4"/>
    <n v="174.495"/>
  </r>
  <r>
    <x v="2"/>
    <x v="9"/>
    <x v="9"/>
    <n v="171.2"/>
    <n v="165.2"/>
    <n v="210.9"/>
    <n v="170.9"/>
    <n v="170.9"/>
    <n v="186.5"/>
    <x v="266"/>
    <x v="298"/>
    <n v="169.8"/>
    <n v="121.9"/>
    <n v="199.9"/>
    <n v="169.9"/>
    <n v="188.3"/>
    <n v="179.6"/>
    <n v="196.3"/>
    <n v="181.9"/>
    <n v="175.3"/>
    <n v="181"/>
    <n v="180.5"/>
    <n v="170.4"/>
    <n v="178.7"/>
    <n v="162.9"/>
    <n v="168.2"/>
    <n v="173.4"/>
    <n v="172.1"/>
    <n v="170.5"/>
    <n v="176.7"/>
    <n v="179.6"/>
    <n v="171.2"/>
    <n v="173.4"/>
    <n v="180.5"/>
    <n v="178.7"/>
    <n v="162.9"/>
    <n v="176.55"/>
    <n v="168.2"/>
    <n v="196.3"/>
    <n v="170.45"/>
    <n v="175.78"/>
  </r>
  <r>
    <x v="0"/>
    <x v="9"/>
    <x v="11"/>
    <s v="NA"/>
    <n v="166.9"/>
    <n v="207.2"/>
    <n v="180.2"/>
    <n v="172.3"/>
    <n v="194"/>
    <x v="267"/>
    <x v="299"/>
    <n v="170.2"/>
    <n v="121.5"/>
    <n v="204.8"/>
    <n v="176.4"/>
    <n v="186.9"/>
    <n v="176.6"/>
    <n v="195.5"/>
    <n v="187.2"/>
    <n v="185.2"/>
    <n v="186.9"/>
    <n v="181.9"/>
    <n v="175.5"/>
    <n v="182.3"/>
    <n v="167.5"/>
    <n v="170.8"/>
    <n v="176.9"/>
    <n v="173.4"/>
    <n v="174.6"/>
    <n v="177.8"/>
    <n v="176.6"/>
    <s v="NA"/>
    <n v="176.9"/>
    <n v="181.9"/>
    <n v="182.3"/>
    <n v="167.5"/>
    <n v="180.15"/>
    <n v="170.8"/>
    <n v="195.5"/>
    <n v="175.05"/>
    <n v="178.52222222222224"/>
  </r>
  <r>
    <x v="1"/>
    <x v="9"/>
    <x v="11"/>
    <n v="171.8"/>
    <n v="168.4"/>
    <n v="213.4"/>
    <n v="183.2"/>
    <n v="172.3"/>
    <n v="180"/>
    <x v="268"/>
    <x v="300"/>
    <n v="171"/>
    <n v="123.4"/>
    <n v="198.8"/>
    <n v="162.1"/>
    <n v="192.4"/>
    <n v="181.3"/>
    <n v="200.6"/>
    <n v="176.7"/>
    <n v="163.5"/>
    <n v="174.7"/>
    <n v="180.3"/>
    <n v="166.9"/>
    <n v="175.8"/>
    <n v="158.9"/>
    <n v="166.7"/>
    <n v="171.5"/>
    <n v="173.8"/>
    <n v="167.4"/>
    <n v="174.1"/>
    <n v="181.3"/>
    <n v="171.8"/>
    <n v="171.5"/>
    <n v="180.3"/>
    <n v="175.8"/>
    <n v="158.9"/>
    <n v="174.25"/>
    <n v="166.7"/>
    <n v="200.6"/>
    <n v="167.15"/>
    <n v="174.83"/>
  </r>
  <r>
    <x v="2"/>
    <x v="9"/>
    <x v="11"/>
    <n v="171.8"/>
    <n v="167.4"/>
    <n v="209.4"/>
    <n v="181.4"/>
    <n v="172.3"/>
    <n v="188.9"/>
    <x v="269"/>
    <x v="30"/>
    <n v="170.5"/>
    <n v="122.1"/>
    <n v="202.8"/>
    <n v="170.4"/>
    <n v="189.5"/>
    <n v="178.3"/>
    <n v="196.9"/>
    <n v="183.1"/>
    <n v="176.2"/>
    <n v="182.1"/>
    <n v="181.3"/>
    <n v="171.4"/>
    <n v="179.8"/>
    <n v="163"/>
    <n v="168.5"/>
    <n v="173.7"/>
    <n v="173.6"/>
    <n v="171.1"/>
    <n v="176.5"/>
    <n v="178.3"/>
    <n v="171.8"/>
    <n v="173.7"/>
    <n v="181.3"/>
    <n v="179.8"/>
    <n v="163"/>
    <n v="177.85"/>
    <n v="168.5"/>
    <n v="196.9"/>
    <n v="171.25"/>
    <n v="176.23999999999998"/>
  </r>
  <r>
    <x v="0"/>
    <x v="9"/>
    <x v="12"/>
    <s v="NA"/>
    <n v="168.8"/>
    <n v="206.9"/>
    <n v="189.1"/>
    <n v="173.4"/>
    <n v="193.9"/>
    <x v="237"/>
    <x v="301"/>
    <n v="170.5"/>
    <n v="121.2"/>
    <n v="207.5"/>
    <n v="176.8"/>
    <n v="187.7"/>
    <n v="174.4"/>
    <n v="195.9"/>
    <n v="188.1"/>
    <n v="185.9"/>
    <n v="187.8"/>
    <n v="182.8"/>
    <n v="176.4"/>
    <n v="183.5"/>
    <n v="167.8"/>
    <n v="171.2"/>
    <n v="177.3"/>
    <n v="175.7"/>
    <n v="175.5"/>
    <n v="177.1"/>
    <n v="174.4"/>
    <s v="NA"/>
    <n v="177.3"/>
    <n v="182.8"/>
    <n v="183.5"/>
    <n v="167.8"/>
    <n v="181.75"/>
    <n v="171.2"/>
    <n v="195.9"/>
    <n v="175.95"/>
    <n v="178.95555555555558"/>
  </r>
  <r>
    <x v="1"/>
    <x v="9"/>
    <x v="12"/>
    <n v="170.7"/>
    <n v="170.2"/>
    <n v="212.9"/>
    <n v="191.9"/>
    <n v="173.9"/>
    <n v="179.1"/>
    <x v="270"/>
    <x v="302"/>
    <n v="171.3"/>
    <n v="123.1"/>
    <n v="200.5"/>
    <n v="162.80000000000001"/>
    <n v="193.3"/>
    <n v="178.6"/>
    <n v="201.1"/>
    <n v="177.7"/>
    <n v="164.5"/>
    <n v="175.7"/>
    <n v="180.6"/>
    <n v="167.3"/>
    <n v="177.2"/>
    <n v="159.4"/>
    <n v="167.1"/>
    <n v="171.8"/>
    <n v="176"/>
    <n v="168.2"/>
    <n v="174.1"/>
    <n v="178.6"/>
    <n v="170.7"/>
    <n v="171.8"/>
    <n v="180.6"/>
    <n v="177.2"/>
    <n v="159.4"/>
    <n v="175.85"/>
    <n v="167.1"/>
    <n v="201.1"/>
    <n v="167.75"/>
    <n v="175.00999999999996"/>
  </r>
  <r>
    <x v="2"/>
    <x v="9"/>
    <x v="12"/>
    <n v="170.7"/>
    <n v="169.2"/>
    <n v="209"/>
    <n v="190.2"/>
    <n v="173.6"/>
    <n v="188.5"/>
    <x v="271"/>
    <x v="303"/>
    <n v="170.8"/>
    <n v="121.8"/>
    <n v="205.2"/>
    <n v="171"/>
    <n v="190.3"/>
    <n v="175.9"/>
    <n v="197.3"/>
    <n v="184"/>
    <n v="177"/>
    <n v="183"/>
    <n v="182"/>
    <n v="172.1"/>
    <n v="181.1"/>
    <n v="163.4"/>
    <n v="168.9"/>
    <n v="174.1"/>
    <n v="175.8"/>
    <n v="172"/>
    <n v="175.7"/>
    <n v="175.9"/>
    <n v="170.7"/>
    <n v="174.1"/>
    <n v="182"/>
    <n v="181.1"/>
    <n v="163.4"/>
    <n v="179.4"/>
    <n v="168.9"/>
    <n v="197.3"/>
    <n v="172.05"/>
    <n v="176.48500000000001"/>
  </r>
  <r>
    <x v="0"/>
    <x v="10"/>
    <x v="0"/>
    <s v="NA"/>
    <n v="174"/>
    <n v="208.3"/>
    <n v="192.9"/>
    <n v="174.3"/>
    <n v="192.6"/>
    <x v="272"/>
    <x v="304"/>
    <n v="170.7"/>
    <n v="120.3"/>
    <n v="210.5"/>
    <n v="176.9"/>
    <n v="188.5"/>
    <n v="175"/>
    <n v="196.9"/>
    <n v="189"/>
    <n v="186.3"/>
    <n v="188.6"/>
    <n v="183.2"/>
    <n v="177.2"/>
    <n v="184.7"/>
    <n v="168.2"/>
    <n v="171.8"/>
    <n v="177.8"/>
    <n v="178.4"/>
    <n v="176.5"/>
    <n v="177.8"/>
    <n v="175"/>
    <s v="NA"/>
    <n v="177.8"/>
    <n v="183.2"/>
    <n v="184.7"/>
    <n v="168.2"/>
    <n v="183.5"/>
    <n v="171.8"/>
    <n v="196.9"/>
    <n v="176.85"/>
    <n v="179.77222222222224"/>
  </r>
  <r>
    <x v="1"/>
    <x v="10"/>
    <x v="0"/>
    <n v="172.1"/>
    <n v="173.3"/>
    <n v="215.2"/>
    <n v="197"/>
    <n v="175.2"/>
    <n v="178"/>
    <x v="273"/>
    <x v="305"/>
    <n v="171.2"/>
    <n v="122.7"/>
    <n v="204.3"/>
    <n v="163.69999999999999"/>
    <n v="194.3"/>
    <n v="179.5"/>
    <n v="201.6"/>
    <n v="178.7"/>
    <n v="165.3"/>
    <n v="176.6"/>
    <n v="180.1"/>
    <n v="168"/>
    <n v="178.5"/>
    <n v="159.5"/>
    <n v="167.8"/>
    <n v="171.8"/>
    <n v="178.8"/>
    <n v="168.9"/>
    <n v="174.9"/>
    <n v="179.5"/>
    <n v="172.1"/>
    <n v="171.8"/>
    <n v="180.1"/>
    <n v="178.5"/>
    <n v="159.5"/>
    <n v="177.7"/>
    <n v="167.8"/>
    <n v="201.6"/>
    <n v="168.45"/>
    <n v="175.70499999999998"/>
  </r>
  <r>
    <x v="2"/>
    <x v="10"/>
    <x v="0"/>
    <n v="172.1"/>
    <n v="173.8"/>
    <n v="210.7"/>
    <n v="194.5"/>
    <n v="174.6"/>
    <n v="187.2"/>
    <x v="242"/>
    <x v="265"/>
    <n v="170.9"/>
    <n v="121.1"/>
    <n v="208.4"/>
    <n v="171.4"/>
    <n v="191.2"/>
    <n v="176.7"/>
    <n v="198.2"/>
    <n v="184.9"/>
    <n v="177.6"/>
    <n v="183.8"/>
    <n v="182"/>
    <n v="172.9"/>
    <n v="182.3"/>
    <n v="163.6"/>
    <n v="169.5"/>
    <n v="174.3"/>
    <n v="178.6"/>
    <n v="172.8"/>
    <n v="176.5"/>
    <n v="176.7"/>
    <n v="172.1"/>
    <n v="174.3"/>
    <n v="182"/>
    <n v="182.3"/>
    <n v="163.6"/>
    <n v="181.2"/>
    <n v="169.5"/>
    <n v="198.2"/>
    <n v="172.85000000000002"/>
    <n v="177.27500000000001"/>
  </r>
  <r>
    <x v="0"/>
    <x v="10"/>
    <x v="1"/>
    <s v="NA"/>
    <n v="174.2"/>
    <n v="205.2"/>
    <n v="173.9"/>
    <n v="177"/>
    <n v="183.4"/>
    <x v="274"/>
    <x v="306"/>
    <n v="170.4"/>
    <n v="119.1"/>
    <n v="212.1"/>
    <n v="177.6"/>
    <n v="189.9"/>
    <n v="174.8"/>
    <n v="198.3"/>
    <n v="190"/>
    <n v="187"/>
    <n v="189.6"/>
    <n v="181.6"/>
    <n v="178.6"/>
    <n v="186.6"/>
    <n v="169"/>
    <n v="172.8"/>
    <n v="178.5"/>
    <n v="180.7"/>
    <n v="177.9"/>
    <n v="178"/>
    <n v="174.8"/>
    <s v="NA"/>
    <n v="178.5"/>
    <n v="181.6"/>
    <n v="186.6"/>
    <n v="169"/>
    <n v="185.14999999999998"/>
    <n v="172.8"/>
    <n v="198.3"/>
    <n v="178.25"/>
    <n v="180.55555555555554"/>
  </r>
  <r>
    <x v="1"/>
    <x v="10"/>
    <x v="1"/>
    <n v="173.5"/>
    <n v="174.7"/>
    <n v="212.2"/>
    <n v="177.2"/>
    <n v="177.9"/>
    <n v="172.2"/>
    <x v="275"/>
    <x v="307"/>
    <n v="172.2"/>
    <n v="121.9"/>
    <n v="204.8"/>
    <n v="164.9"/>
    <n v="196.6"/>
    <n v="180.7"/>
    <n v="202.7"/>
    <n v="180.3"/>
    <n v="167"/>
    <n v="178.2"/>
    <n v="182.8"/>
    <n v="169.2"/>
    <n v="180.8"/>
    <n v="159.80000000000001"/>
    <n v="168.4"/>
    <n v="172.5"/>
    <n v="181.4"/>
    <n v="170"/>
    <n v="176.3"/>
    <n v="180.7"/>
    <n v="173.5"/>
    <n v="172.5"/>
    <n v="182.8"/>
    <n v="180.8"/>
    <n v="159.80000000000001"/>
    <n v="179.8"/>
    <n v="168.4"/>
    <n v="202.7"/>
    <n v="169.6"/>
    <n v="177.06"/>
  </r>
  <r>
    <x v="2"/>
    <x v="10"/>
    <x v="1"/>
    <n v="173.5"/>
    <n v="174.4"/>
    <n v="207.7"/>
    <n v="175.2"/>
    <n v="177.3"/>
    <n v="179.3"/>
    <x v="276"/>
    <x v="308"/>
    <n v="171"/>
    <n v="120"/>
    <n v="209.7"/>
    <n v="172.3"/>
    <n v="193"/>
    <n v="177"/>
    <n v="199.5"/>
    <n v="186.2"/>
    <n v="178.7"/>
    <n v="185.1"/>
    <n v="182.1"/>
    <n v="174.2"/>
    <n v="184.4"/>
    <n v="164.2"/>
    <n v="170.3"/>
    <n v="175"/>
    <n v="181"/>
    <n v="174.1"/>
    <n v="177.2"/>
    <n v="177"/>
    <n v="173.5"/>
    <n v="175"/>
    <n v="182.1"/>
    <n v="184.4"/>
    <n v="164.2"/>
    <n v="183.05"/>
    <n v="170.3"/>
    <n v="199.5"/>
    <n v="174.14999999999998"/>
    <n v="178.32"/>
  </r>
  <r>
    <x v="0"/>
    <x v="10"/>
    <x v="2"/>
    <s v="NA"/>
    <n v="174.3"/>
    <n v="205.2"/>
    <n v="173.9"/>
    <n v="177"/>
    <n v="183.3"/>
    <x v="274"/>
    <x v="306"/>
    <n v="170.5"/>
    <n v="119.1"/>
    <n v="212.1"/>
    <n v="177.6"/>
    <n v="189.9"/>
    <n v="174.8"/>
    <n v="198.4"/>
    <n v="190"/>
    <n v="187"/>
    <n v="189.6"/>
    <n v="181.4"/>
    <n v="178.6"/>
    <n v="186.6"/>
    <n v="169"/>
    <n v="172.8"/>
    <n v="178.5"/>
    <n v="180.7"/>
    <n v="177.9"/>
    <n v="178"/>
    <n v="174.8"/>
    <s v="NA"/>
    <n v="178.5"/>
    <n v="181.4"/>
    <n v="186.6"/>
    <n v="169"/>
    <n v="185.14999999999998"/>
    <n v="172.8"/>
    <n v="198.4"/>
    <n v="178.25"/>
    <n v="180.54444444444445"/>
  </r>
  <r>
    <x v="1"/>
    <x v="10"/>
    <x v="2"/>
    <n v="173.5"/>
    <n v="174.7"/>
    <n v="212.2"/>
    <n v="177.2"/>
    <n v="177.9"/>
    <n v="172.2"/>
    <x v="275"/>
    <x v="309"/>
    <n v="172.2"/>
    <n v="121.9"/>
    <n v="204.8"/>
    <n v="164.9"/>
    <n v="196.6"/>
    <n v="180.8"/>
    <n v="202.7"/>
    <n v="180.2"/>
    <n v="167"/>
    <n v="178.2"/>
    <n v="182.6"/>
    <n v="169.2"/>
    <n v="180.8"/>
    <n v="159.80000000000001"/>
    <n v="168.4"/>
    <n v="172.5"/>
    <n v="181.5"/>
    <n v="170"/>
    <n v="176.3"/>
    <n v="180.8"/>
    <n v="173.5"/>
    <n v="172.5"/>
    <n v="182.6"/>
    <n v="180.8"/>
    <n v="159.80000000000001"/>
    <n v="179.85"/>
    <n v="168.4"/>
    <n v="202.7"/>
    <n v="169.6"/>
    <n v="177.05500000000001"/>
  </r>
  <r>
    <x v="2"/>
    <x v="10"/>
    <x v="2"/>
    <n v="173.5"/>
    <n v="174.4"/>
    <n v="207.7"/>
    <n v="175.2"/>
    <n v="177.3"/>
    <n v="179.2"/>
    <x v="276"/>
    <x v="262"/>
    <n v="171.1"/>
    <n v="120"/>
    <n v="209.7"/>
    <n v="172.3"/>
    <n v="193"/>
    <n v="177"/>
    <n v="199.5"/>
    <n v="186.1"/>
    <n v="178.7"/>
    <n v="185.1"/>
    <n v="181.9"/>
    <n v="174.2"/>
    <n v="184.4"/>
    <n v="164.2"/>
    <n v="170.3"/>
    <n v="175"/>
    <n v="181"/>
    <n v="174.1"/>
    <n v="177.2"/>
    <n v="177"/>
    <n v="173.5"/>
    <n v="175"/>
    <n v="181.9"/>
    <n v="184.4"/>
    <n v="164.2"/>
    <n v="183.05"/>
    <n v="170.3"/>
    <n v="199.5"/>
    <n v="174.14999999999998"/>
    <n v="178.3"/>
  </r>
  <r>
    <x v="0"/>
    <x v="10"/>
    <x v="3"/>
    <s v="-"/>
    <n v="173.3"/>
    <n v="206.9"/>
    <n v="167.9"/>
    <n v="178.2"/>
    <n v="178.5"/>
    <x v="277"/>
    <x v="310"/>
    <n v="172.8"/>
    <n v="120.4"/>
    <n v="215.5"/>
    <n v="178.2"/>
    <n v="190.5"/>
    <n v="175.5"/>
    <n v="199.5"/>
    <n v="190.7"/>
    <n v="187.3"/>
    <n v="190.2"/>
    <n v="181.5"/>
    <n v="179.1"/>
    <n v="187.2"/>
    <n v="169.4"/>
    <n v="173.2"/>
    <n v="179.4"/>
    <n v="183.8"/>
    <n v="178.9"/>
    <n v="178.8"/>
    <n v="175.5"/>
    <s v="-"/>
    <n v="179.4"/>
    <n v="181.5"/>
    <n v="187.2"/>
    <n v="169.4"/>
    <n v="187"/>
    <n v="173.2"/>
    <n v="199.5"/>
    <n v="179"/>
    <n v="181.3"/>
  </r>
  <r>
    <x v="1"/>
    <x v="10"/>
    <x v="3"/>
    <n v="175.2"/>
    <n v="174.8"/>
    <n v="213.7"/>
    <n v="172.4"/>
    <n v="178.8"/>
    <n v="168.7"/>
    <x v="278"/>
    <x v="311"/>
    <n v="174.7"/>
    <n v="123.1"/>
    <n v="207.8"/>
    <n v="165.5"/>
    <n v="197"/>
    <n v="182.1"/>
    <n v="203.5"/>
    <n v="181"/>
    <n v="167.7"/>
    <n v="178.9"/>
    <n v="182.1"/>
    <n v="169.6"/>
    <n v="181.5"/>
    <n v="160.1"/>
    <n v="168.8"/>
    <n v="174.2"/>
    <n v="184.4"/>
    <n v="170.9"/>
    <n v="177.4"/>
    <n v="182.1"/>
    <n v="175.2"/>
    <n v="174.2"/>
    <n v="182.1"/>
    <n v="181.5"/>
    <n v="160.1"/>
    <n v="181.65"/>
    <n v="168.8"/>
    <n v="203.5"/>
    <n v="170.25"/>
    <n v="177.94"/>
  </r>
  <r>
    <x v="2"/>
    <x v="10"/>
    <x v="3"/>
    <n v="175.2"/>
    <n v="173.8"/>
    <n v="209.3"/>
    <n v="169.6"/>
    <n v="178.4"/>
    <n v="174.9"/>
    <x v="279"/>
    <x v="261"/>
    <n v="173.4"/>
    <n v="121.3"/>
    <n v="212.9"/>
    <n v="172.9"/>
    <n v="193.5"/>
    <n v="177.9"/>
    <n v="200.6"/>
    <n v="186.9"/>
    <n v="179.2"/>
    <n v="185.7"/>
    <n v="181.7"/>
    <n v="174.6"/>
    <n v="185"/>
    <n v="164.5"/>
    <n v="170.7"/>
    <n v="176.4"/>
    <n v="184"/>
    <n v="175"/>
    <n v="178.1"/>
    <n v="177.9"/>
    <n v="175.2"/>
    <n v="176.4"/>
    <n v="181.7"/>
    <n v="185"/>
    <n v="164.5"/>
    <n v="184.85"/>
    <n v="170.7"/>
    <n v="200.6"/>
    <n v="174.8"/>
    <n v="179.16499999999999"/>
  </r>
  <r>
    <x v="0"/>
    <x v="10"/>
    <x v="4"/>
    <s v="-"/>
    <n v="173.2"/>
    <n v="211.5"/>
    <n v="171"/>
    <n v="179.6"/>
    <n v="173.3"/>
    <x v="280"/>
    <x v="312"/>
    <n v="174.9"/>
    <n v="121.9"/>
    <n v="221"/>
    <n v="178.7"/>
    <n v="191.1"/>
    <n v="176.8"/>
    <n v="199.9"/>
    <n v="191.2"/>
    <n v="187.9"/>
    <n v="190.8"/>
    <n v="182.5"/>
    <n v="179.8"/>
    <n v="187.8"/>
    <n v="169.7"/>
    <n v="173.8"/>
    <n v="180.3"/>
    <n v="184.9"/>
    <n v="179.5"/>
    <n v="179.8"/>
    <n v="176.8"/>
    <s v="-"/>
    <n v="180.3"/>
    <n v="182.5"/>
    <n v="187.8"/>
    <n v="169.7"/>
    <n v="187.85000000000002"/>
    <n v="173.8"/>
    <n v="199.9"/>
    <n v="179.65"/>
    <n v="182.03333333333339"/>
  </r>
  <r>
    <x v="1"/>
    <x v="10"/>
    <x v="4"/>
    <n v="175.6"/>
    <n v="174.7"/>
    <n v="219.4"/>
    <n v="176.7"/>
    <n v="179.4"/>
    <n v="164.4"/>
    <x v="281"/>
    <x v="313"/>
    <n v="176.9"/>
    <n v="124.2"/>
    <n v="211.9"/>
    <n v="165.9"/>
    <n v="197.7"/>
    <n v="183.1"/>
    <n v="204.2"/>
    <n v="181.3"/>
    <n v="168.1"/>
    <n v="179.3"/>
    <n v="183.4"/>
    <n v="170.1"/>
    <n v="182.2"/>
    <n v="160.4"/>
    <n v="169.2"/>
    <n v="174.8"/>
    <n v="185.6"/>
    <n v="171.6"/>
    <n v="178.2"/>
    <n v="183.1"/>
    <n v="175.6"/>
    <n v="174.8"/>
    <n v="183.4"/>
    <n v="182.2"/>
    <n v="160.4"/>
    <n v="182.45"/>
    <n v="169.2"/>
    <n v="204.2"/>
    <n v="170.85"/>
    <n v="178.62"/>
  </r>
  <r>
    <x v="2"/>
    <x v="10"/>
    <x v="4"/>
    <n v="175.6"/>
    <n v="173.7"/>
    <n v="214.3"/>
    <n v="173.2"/>
    <n v="179.5"/>
    <n v="170"/>
    <x v="282"/>
    <x v="162"/>
    <n v="175.6"/>
    <n v="122.7"/>
    <n v="218"/>
    <n v="173.4"/>
    <n v="194.2"/>
    <n v="179.1"/>
    <n v="201"/>
    <n v="187.3"/>
    <n v="179.7"/>
    <n v="186.2"/>
    <n v="182.8"/>
    <n v="175.2"/>
    <n v="185.7"/>
    <n v="164.8"/>
    <n v="171.2"/>
    <n v="177.1"/>
    <n v="185.2"/>
    <n v="175.7"/>
    <n v="179.1"/>
    <n v="179.1"/>
    <n v="175.6"/>
    <n v="177.1"/>
    <n v="182.8"/>
    <n v="185.7"/>
    <n v="164.8"/>
    <n v="185.7"/>
    <n v="171.2"/>
    <n v="201"/>
    <n v="175.45"/>
    <n v="179.8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42296-4B72-4647-A808-4416B5568E8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1" firstDataRow="2" firstDataCol="1" rowPageCount="1" colPageCount="1"/>
  <pivotFields count="41">
    <pivotField axis="axisPage" showAll="0">
      <items count="4">
        <item x="0"/>
        <item x="2"/>
        <item x="1"/>
        <item t="default"/>
      </items>
    </pivotField>
    <pivotField axis="axisRow" showAll="0">
      <items count="12">
        <item h="1" x="0"/>
        <item h="1" x="1"/>
        <item h="1" x="2"/>
        <item x="3"/>
        <item x="4"/>
        <item x="5"/>
        <item x="6"/>
        <item x="7"/>
        <item x="8"/>
        <item x="9"/>
        <item x="10"/>
        <item t="default"/>
      </items>
    </pivotField>
    <pivotField axis="axisCol" showAll="0">
      <items count="15">
        <item h="1" x="0"/>
        <item h="1" x="1"/>
        <item h="1" x="2"/>
        <item h="1" x="3"/>
        <item x="4"/>
        <item x="5"/>
        <item h="1" x="6"/>
        <item h="1" x="7"/>
        <item h="1" x="8"/>
        <item h="1" x="9"/>
        <item h="1" x="11"/>
        <item h="1" x="12"/>
        <item h="1" m="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3"/>
    </i>
    <i>
      <x v="4"/>
    </i>
    <i>
      <x v="5"/>
    </i>
    <i>
      <x v="6"/>
    </i>
    <i>
      <x v="7"/>
    </i>
    <i>
      <x v="8"/>
    </i>
    <i>
      <x v="9"/>
    </i>
    <i>
      <x v="10"/>
    </i>
    <i t="grand">
      <x/>
    </i>
  </rowItems>
  <colFields count="1">
    <field x="2"/>
  </colFields>
  <colItems count="3">
    <i>
      <x v="4"/>
    </i>
    <i>
      <x v="5"/>
    </i>
    <i t="grand">
      <x/>
    </i>
  </colItems>
  <pageFields count="1">
    <pageField fld="0" item="1" hier="-1"/>
  </pageFields>
  <dataFields count="1">
    <dataField name="Sum of General index"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14C0F-7BFF-495A-9F45-E9019F9FAB0F}"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rowPageCount="1" colPageCount="1"/>
  <pivotFields count="41">
    <pivotField axis="axisPage" showAll="0">
      <items count="4">
        <item x="0"/>
        <item x="2"/>
        <item x="1"/>
        <item t="default"/>
      </items>
    </pivotField>
    <pivotField axis="axisRow" showAll="0">
      <items count="12">
        <item h="1" x="0"/>
        <item h="1" x="1"/>
        <item h="1" x="2"/>
        <item h="1" x="3"/>
        <item h="1" x="4"/>
        <item h="1" x="5"/>
        <item h="1" x="6"/>
        <item h="1" x="7"/>
        <item h="1" x="8"/>
        <item x="9"/>
        <item x="10"/>
        <item t="default"/>
      </items>
    </pivotField>
    <pivotField axis="axisRow" showAll="0">
      <items count="15">
        <item x="0"/>
        <item x="1"/>
        <item x="2"/>
        <item x="3"/>
        <item x="4"/>
        <item x="5"/>
        <item x="6"/>
        <item x="7"/>
        <item x="8"/>
        <item x="9"/>
        <item x="11"/>
        <item x="12"/>
        <item m="1" x="1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Items count="1">
    <i/>
  </colItems>
  <pageFields count="1">
    <pageField fld="0" item="1" hier="-1"/>
  </pageFields>
  <dataFields count="1">
    <dataField name="Sum of Food"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90850-D7DD-42D0-9944-C5FCFB688CA2}" name="Table1" displayName="Table1" ref="B15:D27" totalsRowShown="0" headerRowDxfId="20" headerRowBorderDxfId="19" tableBorderDxfId="18" totalsRowBorderDxfId="17">
  <autoFilter ref="B15:D27" xr:uid="{95190850-D7DD-42D0-9944-C5FCFB688CA2}"/>
  <tableColumns count="3">
    <tableColumn id="1" xr3:uid="{943C54B6-838E-45A4-9FCC-8AA5D61762FF}" name="Category" dataDxfId="16"/>
    <tableColumn id="2" xr3:uid="{6950CFBA-27E1-442B-AD05-EF89A2B2AC9D}" name="Yearly change" dataDxfId="15"/>
    <tableColumn id="3" xr3:uid="{E98D0807-EFB3-4C0B-A41E-65D7B17BF7A4}" name="Absolute change"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O1" dT="2025-08-28T10:25:20.37" personId="{F8ADE5D3-A6B4-4B90-A8E4-40F47E6A5BA9}" id="{EB32F67B-E2AF-498D-A9D5-0C0B8EC3EFC0}">
    <text>Considering equal weights, calculated the simple average</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ppac.gov.in/prices/international-prices-of-crude-oi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pac.gov.in/prices/international-prices-of-crude-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79FD-CF39-4ECF-A3B9-612842FAD1A9}">
  <dimension ref="A1:AD373"/>
  <sheetViews>
    <sheetView tabSelected="1" workbookViewId="0">
      <selection activeCell="B1" sqref="B1"/>
    </sheetView>
  </sheetViews>
  <sheetFormatPr defaultRowHeight="14.25" x14ac:dyDescent="0.45"/>
  <cols>
    <col min="1" max="1" width="10.53125" bestFit="1" customWidth="1"/>
    <col min="2" max="2" width="4.73046875" bestFit="1" customWidth="1"/>
    <col min="3" max="3" width="9.265625" bestFit="1" customWidth="1"/>
    <col min="4" max="4" width="17.3984375" bestFit="1" customWidth="1"/>
    <col min="5" max="5" width="11.06640625" bestFit="1" customWidth="1"/>
    <col min="6" max="6" width="5.73046875" bestFit="1" customWidth="1"/>
    <col min="7" max="7" width="14.59765625" bestFit="1" customWidth="1"/>
    <col min="8" max="8" width="10.33203125" bestFit="1" customWidth="1"/>
    <col min="9" max="9" width="5.73046875" bestFit="1" customWidth="1"/>
    <col min="10" max="10" width="9.265625" bestFit="1" customWidth="1"/>
    <col min="11" max="11" width="16.53125" bestFit="1" customWidth="1"/>
    <col min="12" max="12" width="19.86328125" bestFit="1" customWidth="1"/>
    <col min="13" max="13" width="5.9296875" bestFit="1" customWidth="1"/>
    <col min="14" max="14" width="20.1328125" bestFit="1" customWidth="1"/>
    <col min="15" max="15" width="29.1328125" bestFit="1" customWidth="1"/>
    <col min="16" max="16" width="16.19921875" bestFit="1" customWidth="1"/>
    <col min="17" max="17" width="23.3984375" bestFit="1" customWidth="1"/>
    <col min="18" max="18" width="7.33203125" bestFit="1" customWidth="1"/>
    <col min="19" max="19" width="8" bestFit="1" customWidth="1"/>
    <col min="20" max="20" width="17.9296875" bestFit="1" customWidth="1"/>
    <col min="21" max="21" width="7.19921875" bestFit="1" customWidth="1"/>
    <col min="22" max="22" width="11.06640625" bestFit="1" customWidth="1"/>
    <col min="23" max="23" width="24.53125" bestFit="1" customWidth="1"/>
    <col min="24" max="24" width="5.9296875" bestFit="1" customWidth="1"/>
    <col min="25" max="25" width="24.3984375" bestFit="1" customWidth="1"/>
    <col min="26" max="26" width="22.33203125" bestFit="1" customWidth="1"/>
    <col min="27" max="27" width="8.6640625" bestFit="1" customWidth="1"/>
    <col min="28" max="28" width="20.33203125" bestFit="1" customWidth="1"/>
    <col min="29" max="29" width="12" bestFit="1" customWidth="1"/>
    <col min="30" max="30" width="11.3984375" bestFit="1" customWidth="1"/>
  </cols>
  <sheetData>
    <row r="1" spans="1:3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4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4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4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4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4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4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4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4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4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4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4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4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4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4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4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4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4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4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4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4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4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4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4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4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4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4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4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4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4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4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4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4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4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4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4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4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4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4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4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4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4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4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4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4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4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4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4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4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4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4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4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4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4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4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4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4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4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4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4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4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4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4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4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4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4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4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4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4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4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4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4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4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4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4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4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4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4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4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4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4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4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4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4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4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4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4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4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4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4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4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4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4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4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4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4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4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4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4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4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4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4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4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4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4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4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4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4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4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4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4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4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4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4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4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4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4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4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4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4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4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4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4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4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4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4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4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4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4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4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4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4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4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4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4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4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4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4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4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4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4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4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4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4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4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4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4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4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4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4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4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4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4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4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4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4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4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4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4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4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4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4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4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4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4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4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4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4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4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4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4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4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4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4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4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4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4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4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4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4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4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4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4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4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4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4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4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4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4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4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4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4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4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4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4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4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4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4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4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4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4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4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4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4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4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4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4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4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4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4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4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4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4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4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4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4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4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4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4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4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4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4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4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4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4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4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4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4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4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4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4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4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4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4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4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4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4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4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4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4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4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4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4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4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4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4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4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4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4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4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4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4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4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4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4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4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4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4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4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4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4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4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4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4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4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4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4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4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4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4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4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4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4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4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4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4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4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4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4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4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4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4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4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4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4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4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4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4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4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4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4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4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4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4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4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4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4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4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4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4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4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4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4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4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4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4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4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4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4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4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4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4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4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4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4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4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4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4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4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4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4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4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4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4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4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4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4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4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4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4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4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4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4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4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4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4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4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4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4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4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4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4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4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4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4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4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4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4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4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4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4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4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4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4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4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4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4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4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4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4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4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4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4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4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4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4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4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4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4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4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4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4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4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E63A79FD-CF39-4ECF-A3B9-612842FAD1A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4ABB-AD14-4BD9-AA8C-9AA23B9A044D}">
  <dimension ref="A1:A18"/>
  <sheetViews>
    <sheetView workbookViewId="0">
      <selection activeCell="A4" sqref="A4"/>
    </sheetView>
  </sheetViews>
  <sheetFormatPr defaultRowHeight="14.25" x14ac:dyDescent="0.45"/>
  <cols>
    <col min="1" max="1" width="150.46484375" customWidth="1"/>
  </cols>
  <sheetData>
    <row r="1" spans="1:1" x14ac:dyDescent="0.45">
      <c r="A1" s="8" t="s">
        <v>76</v>
      </c>
    </row>
    <row r="2" spans="1:1" x14ac:dyDescent="0.45">
      <c r="A2" s="8" t="s">
        <v>63</v>
      </c>
    </row>
    <row r="3" spans="1:1" x14ac:dyDescent="0.45">
      <c r="A3" s="8" t="s">
        <v>120</v>
      </c>
    </row>
    <row r="4" spans="1:1" x14ac:dyDescent="0.45">
      <c r="A4" s="8" t="s">
        <v>64</v>
      </c>
    </row>
    <row r="5" spans="1:1" x14ac:dyDescent="0.45">
      <c r="A5" s="8" t="s">
        <v>65</v>
      </c>
    </row>
    <row r="6" spans="1:1" x14ac:dyDescent="0.45">
      <c r="A6" s="5" t="s">
        <v>20</v>
      </c>
    </row>
    <row r="7" spans="1:1" x14ac:dyDescent="0.45">
      <c r="A7" s="5" t="s">
        <v>73</v>
      </c>
    </row>
    <row r="8" spans="1:1" x14ac:dyDescent="0.45">
      <c r="A8" s="5" t="s">
        <v>70</v>
      </c>
    </row>
    <row r="9" spans="1:1" x14ac:dyDescent="0.45">
      <c r="A9" s="5" t="s">
        <v>26</v>
      </c>
    </row>
    <row r="10" spans="1:1" x14ac:dyDescent="0.45">
      <c r="A10" s="5" t="s">
        <v>66</v>
      </c>
    </row>
    <row r="11" spans="1:1" x14ac:dyDescent="0.45">
      <c r="A11" s="5" t="s">
        <v>23</v>
      </c>
    </row>
    <row r="12" spans="1:1" x14ac:dyDescent="0.45">
      <c r="A12" s="5" t="s">
        <v>52</v>
      </c>
    </row>
    <row r="13" spans="1:1" x14ac:dyDescent="0.45">
      <c r="A13" s="5" t="s">
        <v>67</v>
      </c>
    </row>
    <row r="14" spans="1:1" x14ac:dyDescent="0.45">
      <c r="A14" s="5" t="s">
        <v>68</v>
      </c>
    </row>
    <row r="15" spans="1:1" x14ac:dyDescent="0.45">
      <c r="A15" s="5" t="s">
        <v>69</v>
      </c>
    </row>
    <row r="16" spans="1:1" x14ac:dyDescent="0.45">
      <c r="A16" s="9" t="s">
        <v>71</v>
      </c>
    </row>
    <row r="17" spans="1:1" x14ac:dyDescent="0.45">
      <c r="A17" s="9" t="s">
        <v>72</v>
      </c>
    </row>
    <row r="18" spans="1:1" x14ac:dyDescent="0.45">
      <c r="A18" s="9"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F7B09-AD28-4861-B9DA-3A8971A9431B}">
  <dimension ref="A1:AO389"/>
  <sheetViews>
    <sheetView workbookViewId="0">
      <selection activeCell="G6" sqref="A1:AO373"/>
    </sheetView>
  </sheetViews>
  <sheetFormatPr defaultRowHeight="14.25" x14ac:dyDescent="0.45"/>
  <cols>
    <col min="1" max="1" width="11.86328125" customWidth="1"/>
    <col min="3" max="3" width="9.265625" bestFit="1" customWidth="1"/>
    <col min="4" max="4" width="11.73046875" bestFit="1" customWidth="1"/>
    <col min="5" max="5" width="17.3984375" bestFit="1" customWidth="1"/>
    <col min="6" max="7" width="11.73046875" bestFit="1" customWidth="1"/>
    <col min="8" max="8" width="14.59765625" bestFit="1" customWidth="1"/>
    <col min="9" max="11" width="11.73046875" bestFit="1" customWidth="1"/>
    <col min="12" max="12" width="16.53125" bestFit="1" customWidth="1"/>
    <col min="13" max="13" width="19.86328125" bestFit="1" customWidth="1"/>
    <col min="14" max="14" width="11.73046875" bestFit="1" customWidth="1"/>
    <col min="15" max="15" width="20.1328125" bestFit="1" customWidth="1"/>
    <col min="16" max="16" width="29.1328125" bestFit="1" customWidth="1"/>
    <col min="17" max="17" width="16.19921875" bestFit="1" customWidth="1"/>
    <col min="18" max="18" width="23.3984375" bestFit="1" customWidth="1"/>
    <col min="19" max="20" width="11.73046875" bestFit="1" customWidth="1"/>
    <col min="21" max="21" width="17.9296875" bestFit="1" customWidth="1"/>
    <col min="22" max="22" width="11.73046875" bestFit="1" customWidth="1"/>
    <col min="23" max="23" width="24.53125" bestFit="1" customWidth="1"/>
    <col min="24" max="24" width="11.73046875" bestFit="1" customWidth="1"/>
    <col min="25" max="25" width="24.3984375" bestFit="1" customWidth="1"/>
    <col min="26" max="26" width="22.33203125" bestFit="1" customWidth="1"/>
    <col min="27" max="27" width="11.73046875" customWidth="1"/>
    <col min="28" max="28" width="20.33203125" bestFit="1" customWidth="1"/>
    <col min="29" max="29" width="12" bestFit="1" customWidth="1"/>
  </cols>
  <sheetData>
    <row r="1" spans="1:41" x14ac:dyDescent="0.45">
      <c r="A1" t="s">
        <v>0</v>
      </c>
      <c r="B1" t="s">
        <v>1</v>
      </c>
      <c r="C1" t="s">
        <v>2</v>
      </c>
      <c r="D1" t="s">
        <v>20</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21</v>
      </c>
      <c r="W1" t="s">
        <v>22</v>
      </c>
      <c r="X1" t="s">
        <v>23</v>
      </c>
      <c r="Y1" t="s">
        <v>24</v>
      </c>
      <c r="Z1" t="s">
        <v>25</v>
      </c>
      <c r="AA1" t="s">
        <v>26</v>
      </c>
      <c r="AB1" t="s">
        <v>27</v>
      </c>
      <c r="AC1" t="s">
        <v>28</v>
      </c>
      <c r="AD1" t="s">
        <v>29</v>
      </c>
      <c r="AE1" s="1" t="s">
        <v>49</v>
      </c>
      <c r="AF1" s="1" t="s">
        <v>20</v>
      </c>
      <c r="AG1" s="1" t="s">
        <v>26</v>
      </c>
      <c r="AH1" s="1" t="s">
        <v>50</v>
      </c>
      <c r="AI1" s="1" t="s">
        <v>23</v>
      </c>
      <c r="AJ1" s="1" t="s">
        <v>55</v>
      </c>
      <c r="AK1" s="1" t="s">
        <v>51</v>
      </c>
      <c r="AL1" s="1" t="s">
        <v>52</v>
      </c>
      <c r="AM1" s="1" t="s">
        <v>53</v>
      </c>
      <c r="AN1" s="1" t="s">
        <v>54</v>
      </c>
      <c r="AO1" s="1" t="s">
        <v>56</v>
      </c>
    </row>
    <row r="2" spans="1:41" x14ac:dyDescent="0.45">
      <c r="A2" t="s">
        <v>30</v>
      </c>
      <c r="B2">
        <v>2013</v>
      </c>
      <c r="C2" t="s">
        <v>31</v>
      </c>
      <c r="D2" t="s">
        <v>32</v>
      </c>
      <c r="E2">
        <v>107.5</v>
      </c>
      <c r="F2">
        <v>106.3</v>
      </c>
      <c r="G2">
        <v>108.1</v>
      </c>
      <c r="H2">
        <v>104.9</v>
      </c>
      <c r="I2">
        <v>106.1</v>
      </c>
      <c r="J2">
        <v>103.9</v>
      </c>
      <c r="K2">
        <v>101.9</v>
      </c>
      <c r="L2">
        <v>106.1</v>
      </c>
      <c r="M2">
        <v>106.8</v>
      </c>
      <c r="N2">
        <v>103.1</v>
      </c>
      <c r="O2">
        <v>104.8</v>
      </c>
      <c r="P2">
        <v>106.7</v>
      </c>
      <c r="Q2">
        <v>105.5</v>
      </c>
      <c r="R2">
        <v>105.1</v>
      </c>
      <c r="S2">
        <v>106.5</v>
      </c>
      <c r="T2">
        <v>105.8</v>
      </c>
      <c r="U2">
        <v>106.4</v>
      </c>
      <c r="V2">
        <v>105.5</v>
      </c>
      <c r="W2">
        <v>104.8</v>
      </c>
      <c r="X2">
        <v>104</v>
      </c>
      <c r="Y2">
        <v>103.3</v>
      </c>
      <c r="Z2">
        <v>103.4</v>
      </c>
      <c r="AA2">
        <v>103.8</v>
      </c>
      <c r="AB2">
        <v>104.7</v>
      </c>
      <c r="AC2">
        <v>104</v>
      </c>
      <c r="AD2">
        <v>105.1</v>
      </c>
      <c r="AE2">
        <f>Q2</f>
        <v>105.5</v>
      </c>
      <c r="AF2" t="str">
        <f t="shared" ref="AF2:AF65" si="0">D2</f>
        <v>NA</v>
      </c>
      <c r="AG2">
        <f>AA2</f>
        <v>103.8</v>
      </c>
      <c r="AH2">
        <f>V2</f>
        <v>105.5</v>
      </c>
      <c r="AI2">
        <f>X2</f>
        <v>104</v>
      </c>
      <c r="AJ2">
        <f>Y2</f>
        <v>103.3</v>
      </c>
      <c r="AK2">
        <f>AVERAGE(U2,AB2)</f>
        <v>105.55000000000001</v>
      </c>
      <c r="AL2">
        <f>Z2</f>
        <v>103.4</v>
      </c>
      <c r="AM2">
        <f>R2</f>
        <v>105.1</v>
      </c>
      <c r="AN2">
        <f>AVERAGE(W2,AC2)</f>
        <v>104.4</v>
      </c>
      <c r="AO2">
        <f>AVERAGE(AE2:AN2)</f>
        <v>104.50555555555556</v>
      </c>
    </row>
    <row r="3" spans="1:41" x14ac:dyDescent="0.45">
      <c r="A3" t="s">
        <v>33</v>
      </c>
      <c r="B3">
        <v>2013</v>
      </c>
      <c r="C3" t="s">
        <v>31</v>
      </c>
      <c r="D3">
        <v>100.3</v>
      </c>
      <c r="E3">
        <v>110.5</v>
      </c>
      <c r="F3">
        <v>109.1</v>
      </c>
      <c r="G3">
        <v>113</v>
      </c>
      <c r="H3">
        <v>103.6</v>
      </c>
      <c r="I3">
        <v>103.4</v>
      </c>
      <c r="J3">
        <v>102.3</v>
      </c>
      <c r="K3">
        <v>102.9</v>
      </c>
      <c r="L3">
        <v>105.8</v>
      </c>
      <c r="M3">
        <v>105.1</v>
      </c>
      <c r="N3">
        <v>101.8</v>
      </c>
      <c r="O3">
        <v>105.1</v>
      </c>
      <c r="P3">
        <v>107.9</v>
      </c>
      <c r="Q3">
        <v>105.9</v>
      </c>
      <c r="R3">
        <v>105.2</v>
      </c>
      <c r="S3">
        <v>105.9</v>
      </c>
      <c r="T3">
        <v>105</v>
      </c>
      <c r="U3">
        <v>105.8</v>
      </c>
      <c r="V3">
        <v>105.4</v>
      </c>
      <c r="W3">
        <v>104.8</v>
      </c>
      <c r="X3">
        <v>104.1</v>
      </c>
      <c r="Y3">
        <v>103.2</v>
      </c>
      <c r="Z3">
        <v>102.9</v>
      </c>
      <c r="AA3">
        <v>103.5</v>
      </c>
      <c r="AB3">
        <v>104.3</v>
      </c>
      <c r="AC3">
        <v>103.7</v>
      </c>
      <c r="AD3">
        <v>104</v>
      </c>
      <c r="AE3">
        <f t="shared" ref="AE3:AE66" si="1">Q3</f>
        <v>105.9</v>
      </c>
      <c r="AF3">
        <f t="shared" si="0"/>
        <v>100.3</v>
      </c>
      <c r="AG3">
        <f t="shared" ref="AG3:AG66" si="2">AA3</f>
        <v>103.5</v>
      </c>
      <c r="AH3">
        <f t="shared" ref="AH3:AH66" si="3">V3</f>
        <v>105.4</v>
      </c>
      <c r="AI3">
        <f t="shared" ref="AI3:AJ66" si="4">X3</f>
        <v>104.1</v>
      </c>
      <c r="AJ3">
        <f t="shared" si="4"/>
        <v>103.2</v>
      </c>
      <c r="AK3">
        <f t="shared" ref="AK3:AK66" si="5">AVERAGE(U3,AB3)</f>
        <v>105.05</v>
      </c>
      <c r="AL3">
        <f t="shared" ref="AL3:AL66" si="6">Z3</f>
        <v>102.9</v>
      </c>
      <c r="AM3">
        <f t="shared" ref="AM3:AM66" si="7">R3</f>
        <v>105.2</v>
      </c>
      <c r="AN3">
        <f t="shared" ref="AN3:AN66" si="8">AVERAGE(W3,AC3)</f>
        <v>104.25</v>
      </c>
      <c r="AO3">
        <f t="shared" ref="AO3:AO66" si="9">AVERAGE(AE3:AN3)</f>
        <v>103.98000000000002</v>
      </c>
    </row>
    <row r="4" spans="1:41" x14ac:dyDescent="0.45">
      <c r="A4" t="s">
        <v>34</v>
      </c>
      <c r="B4">
        <v>2013</v>
      </c>
      <c r="C4" t="s">
        <v>31</v>
      </c>
      <c r="D4">
        <v>100.3</v>
      </c>
      <c r="E4">
        <v>108.4</v>
      </c>
      <c r="F4">
        <v>107.3</v>
      </c>
      <c r="G4">
        <v>110</v>
      </c>
      <c r="H4">
        <v>104.4</v>
      </c>
      <c r="I4">
        <v>105.1</v>
      </c>
      <c r="J4">
        <v>103.2</v>
      </c>
      <c r="K4">
        <v>102.2</v>
      </c>
      <c r="L4">
        <v>106</v>
      </c>
      <c r="M4">
        <v>106.2</v>
      </c>
      <c r="N4">
        <v>102.7</v>
      </c>
      <c r="O4">
        <v>104.9</v>
      </c>
      <c r="P4">
        <v>107.3</v>
      </c>
      <c r="Q4">
        <v>105.6</v>
      </c>
      <c r="R4">
        <v>105.1</v>
      </c>
      <c r="S4">
        <v>106.3</v>
      </c>
      <c r="T4">
        <v>105.5</v>
      </c>
      <c r="U4">
        <v>106.2</v>
      </c>
      <c r="V4">
        <v>105.5</v>
      </c>
      <c r="W4">
        <v>104.8</v>
      </c>
      <c r="X4">
        <v>104</v>
      </c>
      <c r="Y4">
        <v>103.2</v>
      </c>
      <c r="Z4">
        <v>103.1</v>
      </c>
      <c r="AA4">
        <v>103.6</v>
      </c>
      <c r="AB4">
        <v>104.5</v>
      </c>
      <c r="AC4">
        <v>103.9</v>
      </c>
      <c r="AD4">
        <v>104.6</v>
      </c>
      <c r="AE4">
        <f t="shared" si="1"/>
        <v>105.6</v>
      </c>
      <c r="AF4">
        <f t="shared" si="0"/>
        <v>100.3</v>
      </c>
      <c r="AG4">
        <f t="shared" si="2"/>
        <v>103.6</v>
      </c>
      <c r="AH4">
        <f t="shared" si="3"/>
        <v>105.5</v>
      </c>
      <c r="AI4">
        <f t="shared" si="4"/>
        <v>104</v>
      </c>
      <c r="AJ4">
        <f t="shared" si="4"/>
        <v>103.2</v>
      </c>
      <c r="AK4">
        <f t="shared" si="5"/>
        <v>105.35</v>
      </c>
      <c r="AL4">
        <f t="shared" si="6"/>
        <v>103.1</v>
      </c>
      <c r="AM4">
        <f t="shared" si="7"/>
        <v>105.1</v>
      </c>
      <c r="AN4">
        <f t="shared" si="8"/>
        <v>104.35</v>
      </c>
      <c r="AO4">
        <f t="shared" si="9"/>
        <v>104.01000000000002</v>
      </c>
    </row>
    <row r="5" spans="1:41" x14ac:dyDescent="0.45">
      <c r="A5" t="s">
        <v>30</v>
      </c>
      <c r="B5">
        <v>2013</v>
      </c>
      <c r="C5" t="s">
        <v>35</v>
      </c>
      <c r="D5" t="s">
        <v>32</v>
      </c>
      <c r="E5">
        <v>109.2</v>
      </c>
      <c r="F5">
        <v>108.7</v>
      </c>
      <c r="G5">
        <v>110.2</v>
      </c>
      <c r="H5">
        <v>105.4</v>
      </c>
      <c r="I5">
        <v>106.7</v>
      </c>
      <c r="J5">
        <v>104</v>
      </c>
      <c r="K5">
        <v>102.4</v>
      </c>
      <c r="L5">
        <v>105.9</v>
      </c>
      <c r="M5">
        <v>105.7</v>
      </c>
      <c r="N5">
        <v>103.1</v>
      </c>
      <c r="O5">
        <v>105.1</v>
      </c>
      <c r="P5">
        <v>107.7</v>
      </c>
      <c r="Q5">
        <v>106.3</v>
      </c>
      <c r="R5">
        <v>105.6</v>
      </c>
      <c r="S5">
        <v>107.1</v>
      </c>
      <c r="T5">
        <v>106.3</v>
      </c>
      <c r="U5">
        <v>107</v>
      </c>
      <c r="V5">
        <v>106.2</v>
      </c>
      <c r="W5">
        <v>105.2</v>
      </c>
      <c r="X5">
        <v>104.4</v>
      </c>
      <c r="Y5">
        <v>103.9</v>
      </c>
      <c r="Z5">
        <v>104</v>
      </c>
      <c r="AA5">
        <v>104.1</v>
      </c>
      <c r="AB5">
        <v>104.6</v>
      </c>
      <c r="AC5">
        <v>104.4</v>
      </c>
      <c r="AD5">
        <v>105.8</v>
      </c>
      <c r="AE5">
        <f t="shared" si="1"/>
        <v>106.3</v>
      </c>
      <c r="AF5" t="str">
        <f t="shared" si="0"/>
        <v>NA</v>
      </c>
      <c r="AG5">
        <f t="shared" si="2"/>
        <v>104.1</v>
      </c>
      <c r="AH5">
        <f t="shared" si="3"/>
        <v>106.2</v>
      </c>
      <c r="AI5">
        <f t="shared" si="4"/>
        <v>104.4</v>
      </c>
      <c r="AJ5">
        <f t="shared" si="4"/>
        <v>103.9</v>
      </c>
      <c r="AK5">
        <f t="shared" si="5"/>
        <v>105.8</v>
      </c>
      <c r="AL5">
        <f t="shared" si="6"/>
        <v>104</v>
      </c>
      <c r="AM5">
        <f t="shared" si="7"/>
        <v>105.6</v>
      </c>
      <c r="AN5">
        <f t="shared" si="8"/>
        <v>104.80000000000001</v>
      </c>
      <c r="AO5">
        <f t="shared" si="9"/>
        <v>105.01111111111111</v>
      </c>
    </row>
    <row r="6" spans="1:41" x14ac:dyDescent="0.45">
      <c r="A6" t="s">
        <v>33</v>
      </c>
      <c r="B6">
        <v>2013</v>
      </c>
      <c r="C6" t="s">
        <v>35</v>
      </c>
      <c r="D6">
        <v>100.4</v>
      </c>
      <c r="E6">
        <v>112.9</v>
      </c>
      <c r="F6">
        <v>112.9</v>
      </c>
      <c r="G6">
        <v>116.9</v>
      </c>
      <c r="H6">
        <v>104</v>
      </c>
      <c r="I6">
        <v>103.5</v>
      </c>
      <c r="J6">
        <v>103.1</v>
      </c>
      <c r="K6">
        <v>104.9</v>
      </c>
      <c r="L6">
        <v>104.1</v>
      </c>
      <c r="M6">
        <v>103.8</v>
      </c>
      <c r="N6">
        <v>102.3</v>
      </c>
      <c r="O6">
        <v>106</v>
      </c>
      <c r="P6">
        <v>109</v>
      </c>
      <c r="Q6">
        <v>107.2</v>
      </c>
      <c r="R6">
        <v>106</v>
      </c>
      <c r="S6">
        <v>106.6</v>
      </c>
      <c r="T6">
        <v>105.5</v>
      </c>
      <c r="U6">
        <v>106.4</v>
      </c>
      <c r="V6">
        <v>105.7</v>
      </c>
      <c r="W6">
        <v>105.2</v>
      </c>
      <c r="X6">
        <v>104.7</v>
      </c>
      <c r="Y6">
        <v>104.4</v>
      </c>
      <c r="Z6">
        <v>103.3</v>
      </c>
      <c r="AA6">
        <v>103.7</v>
      </c>
      <c r="AB6">
        <v>104.3</v>
      </c>
      <c r="AC6">
        <v>104.3</v>
      </c>
      <c r="AD6">
        <v>104.7</v>
      </c>
      <c r="AE6">
        <f t="shared" si="1"/>
        <v>107.2</v>
      </c>
      <c r="AF6">
        <f t="shared" si="0"/>
        <v>100.4</v>
      </c>
      <c r="AG6">
        <f t="shared" si="2"/>
        <v>103.7</v>
      </c>
      <c r="AH6">
        <f t="shared" si="3"/>
        <v>105.7</v>
      </c>
      <c r="AI6">
        <f t="shared" si="4"/>
        <v>104.7</v>
      </c>
      <c r="AJ6">
        <f t="shared" si="4"/>
        <v>104.4</v>
      </c>
      <c r="AK6">
        <f t="shared" si="5"/>
        <v>105.35</v>
      </c>
      <c r="AL6">
        <f t="shared" si="6"/>
        <v>103.3</v>
      </c>
      <c r="AM6">
        <f t="shared" si="7"/>
        <v>106</v>
      </c>
      <c r="AN6">
        <f t="shared" si="8"/>
        <v>104.75</v>
      </c>
      <c r="AO6">
        <f t="shared" si="9"/>
        <v>104.55</v>
      </c>
    </row>
    <row r="7" spans="1:41" x14ac:dyDescent="0.45">
      <c r="A7" t="s">
        <v>34</v>
      </c>
      <c r="B7">
        <v>2013</v>
      </c>
      <c r="C7" t="s">
        <v>35</v>
      </c>
      <c r="D7">
        <v>100.4</v>
      </c>
      <c r="E7">
        <v>110.4</v>
      </c>
      <c r="F7">
        <v>110.2</v>
      </c>
      <c r="G7">
        <v>112.8</v>
      </c>
      <c r="H7">
        <v>104.9</v>
      </c>
      <c r="I7">
        <v>105.5</v>
      </c>
      <c r="J7">
        <v>103.6</v>
      </c>
      <c r="K7">
        <v>103.2</v>
      </c>
      <c r="L7">
        <v>105.3</v>
      </c>
      <c r="M7">
        <v>105.1</v>
      </c>
      <c r="N7">
        <v>102.8</v>
      </c>
      <c r="O7">
        <v>105.5</v>
      </c>
      <c r="P7">
        <v>108.3</v>
      </c>
      <c r="Q7">
        <v>106.6</v>
      </c>
      <c r="R7">
        <v>105.7</v>
      </c>
      <c r="S7">
        <v>106.9</v>
      </c>
      <c r="T7">
        <v>106</v>
      </c>
      <c r="U7">
        <v>106.8</v>
      </c>
      <c r="V7">
        <v>106</v>
      </c>
      <c r="W7">
        <v>105.2</v>
      </c>
      <c r="X7">
        <v>104.5</v>
      </c>
      <c r="Y7">
        <v>104.2</v>
      </c>
      <c r="Z7">
        <v>103.6</v>
      </c>
      <c r="AA7">
        <v>103.9</v>
      </c>
      <c r="AB7">
        <v>104.5</v>
      </c>
      <c r="AC7">
        <v>104.4</v>
      </c>
      <c r="AD7">
        <v>105.3</v>
      </c>
      <c r="AE7">
        <f t="shared" si="1"/>
        <v>106.6</v>
      </c>
      <c r="AF7">
        <f t="shared" si="0"/>
        <v>100.4</v>
      </c>
      <c r="AG7">
        <f t="shared" si="2"/>
        <v>103.9</v>
      </c>
      <c r="AH7">
        <f t="shared" si="3"/>
        <v>106</v>
      </c>
      <c r="AI7">
        <f t="shared" si="4"/>
        <v>104.5</v>
      </c>
      <c r="AJ7">
        <f t="shared" si="4"/>
        <v>104.2</v>
      </c>
      <c r="AK7">
        <f t="shared" si="5"/>
        <v>105.65</v>
      </c>
      <c r="AL7">
        <f t="shared" si="6"/>
        <v>103.6</v>
      </c>
      <c r="AM7">
        <f t="shared" si="7"/>
        <v>105.7</v>
      </c>
      <c r="AN7">
        <f t="shared" si="8"/>
        <v>104.80000000000001</v>
      </c>
      <c r="AO7">
        <f t="shared" si="9"/>
        <v>104.53500000000001</v>
      </c>
    </row>
    <row r="8" spans="1:41" x14ac:dyDescent="0.45">
      <c r="A8" t="s">
        <v>30</v>
      </c>
      <c r="B8">
        <v>2013</v>
      </c>
      <c r="C8" t="s">
        <v>36</v>
      </c>
      <c r="D8" t="s">
        <v>32</v>
      </c>
      <c r="E8">
        <v>110.2</v>
      </c>
      <c r="F8">
        <v>108.8</v>
      </c>
      <c r="G8">
        <v>109.9</v>
      </c>
      <c r="H8">
        <v>105.6</v>
      </c>
      <c r="I8">
        <v>106.2</v>
      </c>
      <c r="J8">
        <v>105.7</v>
      </c>
      <c r="K8">
        <v>101.4</v>
      </c>
      <c r="L8">
        <v>105.7</v>
      </c>
      <c r="M8">
        <v>105</v>
      </c>
      <c r="N8">
        <v>103.3</v>
      </c>
      <c r="O8">
        <v>105.6</v>
      </c>
      <c r="P8">
        <v>108.2</v>
      </c>
      <c r="Q8">
        <v>106.6</v>
      </c>
      <c r="R8">
        <v>106.5</v>
      </c>
      <c r="S8">
        <v>107.6</v>
      </c>
      <c r="T8">
        <v>106.8</v>
      </c>
      <c r="U8">
        <v>107.5</v>
      </c>
      <c r="V8">
        <v>106.1</v>
      </c>
      <c r="W8">
        <v>105.6</v>
      </c>
      <c r="X8">
        <v>104.7</v>
      </c>
      <c r="Y8">
        <v>104.6</v>
      </c>
      <c r="Z8">
        <v>104</v>
      </c>
      <c r="AA8">
        <v>104.3</v>
      </c>
      <c r="AB8">
        <v>104.3</v>
      </c>
      <c r="AC8">
        <v>104.6</v>
      </c>
      <c r="AD8">
        <v>106</v>
      </c>
      <c r="AE8">
        <f t="shared" si="1"/>
        <v>106.6</v>
      </c>
      <c r="AF8" t="str">
        <f t="shared" si="0"/>
        <v>NA</v>
      </c>
      <c r="AG8">
        <f t="shared" si="2"/>
        <v>104.3</v>
      </c>
      <c r="AH8">
        <f t="shared" si="3"/>
        <v>106.1</v>
      </c>
      <c r="AI8">
        <f t="shared" si="4"/>
        <v>104.7</v>
      </c>
      <c r="AJ8">
        <f t="shared" si="4"/>
        <v>104.6</v>
      </c>
      <c r="AK8">
        <f t="shared" si="5"/>
        <v>105.9</v>
      </c>
      <c r="AL8">
        <f t="shared" si="6"/>
        <v>104</v>
      </c>
      <c r="AM8">
        <f t="shared" si="7"/>
        <v>106.5</v>
      </c>
      <c r="AN8">
        <f t="shared" si="8"/>
        <v>105.1</v>
      </c>
      <c r="AO8">
        <f t="shared" si="9"/>
        <v>105.3111111111111</v>
      </c>
    </row>
    <row r="9" spans="1:41" x14ac:dyDescent="0.45">
      <c r="A9" t="s">
        <v>33</v>
      </c>
      <c r="B9">
        <v>2013</v>
      </c>
      <c r="C9" t="s">
        <v>36</v>
      </c>
      <c r="D9">
        <v>100.4</v>
      </c>
      <c r="E9">
        <v>113.9</v>
      </c>
      <c r="F9">
        <v>111.4</v>
      </c>
      <c r="G9">
        <v>113.2</v>
      </c>
      <c r="H9">
        <v>104.3</v>
      </c>
      <c r="I9">
        <v>102.7</v>
      </c>
      <c r="J9">
        <v>104.9</v>
      </c>
      <c r="K9">
        <v>103.8</v>
      </c>
      <c r="L9">
        <v>103.5</v>
      </c>
      <c r="M9">
        <v>102.6</v>
      </c>
      <c r="N9">
        <v>102.4</v>
      </c>
      <c r="O9">
        <v>107</v>
      </c>
      <c r="P9">
        <v>109.8</v>
      </c>
      <c r="Q9">
        <v>107.3</v>
      </c>
      <c r="R9">
        <v>106.8</v>
      </c>
      <c r="S9">
        <v>107.2</v>
      </c>
      <c r="T9">
        <v>106</v>
      </c>
      <c r="U9">
        <v>107</v>
      </c>
      <c r="V9">
        <v>106</v>
      </c>
      <c r="W9">
        <v>105.7</v>
      </c>
      <c r="X9">
        <v>105.2</v>
      </c>
      <c r="Y9">
        <v>105.5</v>
      </c>
      <c r="Z9">
        <v>103.5</v>
      </c>
      <c r="AA9">
        <v>103.8</v>
      </c>
      <c r="AB9">
        <v>104.2</v>
      </c>
      <c r="AC9">
        <v>104.9</v>
      </c>
      <c r="AD9">
        <v>105</v>
      </c>
      <c r="AE9">
        <f t="shared" si="1"/>
        <v>107.3</v>
      </c>
      <c r="AF9">
        <f t="shared" si="0"/>
        <v>100.4</v>
      </c>
      <c r="AG9">
        <f t="shared" si="2"/>
        <v>103.8</v>
      </c>
      <c r="AH9">
        <f t="shared" si="3"/>
        <v>106</v>
      </c>
      <c r="AI9">
        <f t="shared" si="4"/>
        <v>105.2</v>
      </c>
      <c r="AJ9">
        <f t="shared" si="4"/>
        <v>105.5</v>
      </c>
      <c r="AK9">
        <f t="shared" si="5"/>
        <v>105.6</v>
      </c>
      <c r="AL9">
        <f t="shared" si="6"/>
        <v>103.5</v>
      </c>
      <c r="AM9">
        <f t="shared" si="7"/>
        <v>106.8</v>
      </c>
      <c r="AN9">
        <f t="shared" si="8"/>
        <v>105.30000000000001</v>
      </c>
      <c r="AO9">
        <f t="shared" si="9"/>
        <v>104.94000000000001</v>
      </c>
    </row>
    <row r="10" spans="1:41" x14ac:dyDescent="0.45">
      <c r="A10" t="s">
        <v>34</v>
      </c>
      <c r="B10">
        <v>2013</v>
      </c>
      <c r="C10" t="s">
        <v>36</v>
      </c>
      <c r="D10">
        <v>100.4</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106.1</v>
      </c>
      <c r="W10">
        <v>105.6</v>
      </c>
      <c r="X10">
        <v>104.9</v>
      </c>
      <c r="Y10">
        <v>105.1</v>
      </c>
      <c r="Z10">
        <v>103.7</v>
      </c>
      <c r="AA10">
        <v>104</v>
      </c>
      <c r="AB10">
        <v>104.3</v>
      </c>
      <c r="AC10">
        <v>104.7</v>
      </c>
      <c r="AD10">
        <v>105.5</v>
      </c>
      <c r="AE10">
        <f t="shared" si="1"/>
        <v>106.9</v>
      </c>
      <c r="AF10">
        <f t="shared" si="0"/>
        <v>100.4</v>
      </c>
      <c r="AG10">
        <f t="shared" si="2"/>
        <v>104</v>
      </c>
      <c r="AH10">
        <f t="shared" si="3"/>
        <v>106.1</v>
      </c>
      <c r="AI10">
        <f t="shared" si="4"/>
        <v>104.9</v>
      </c>
      <c r="AJ10">
        <f t="shared" si="4"/>
        <v>105.1</v>
      </c>
      <c r="AK10">
        <f t="shared" si="5"/>
        <v>105.8</v>
      </c>
      <c r="AL10">
        <f t="shared" si="6"/>
        <v>103.7</v>
      </c>
      <c r="AM10">
        <f t="shared" si="7"/>
        <v>106.6</v>
      </c>
      <c r="AN10">
        <f t="shared" si="8"/>
        <v>105.15</v>
      </c>
      <c r="AO10">
        <f t="shared" si="9"/>
        <v>104.86500000000001</v>
      </c>
    </row>
    <row r="11" spans="1:41" x14ac:dyDescent="0.45">
      <c r="A11" t="s">
        <v>30</v>
      </c>
      <c r="B11">
        <v>2013</v>
      </c>
      <c r="C11" t="s">
        <v>37</v>
      </c>
      <c r="D11" t="s">
        <v>32</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v>106.5</v>
      </c>
      <c r="W11">
        <v>106.1</v>
      </c>
      <c r="X11">
        <v>105.1</v>
      </c>
      <c r="Y11">
        <v>104.4</v>
      </c>
      <c r="Z11">
        <v>104.5</v>
      </c>
      <c r="AA11">
        <v>104.8</v>
      </c>
      <c r="AB11">
        <v>102.7</v>
      </c>
      <c r="AC11">
        <v>104.6</v>
      </c>
      <c r="AD11">
        <v>106.4</v>
      </c>
      <c r="AE11">
        <f t="shared" si="1"/>
        <v>107.1</v>
      </c>
      <c r="AF11" t="str">
        <f t="shared" si="0"/>
        <v>NA</v>
      </c>
      <c r="AG11">
        <f t="shared" si="2"/>
        <v>104.8</v>
      </c>
      <c r="AH11">
        <f t="shared" si="3"/>
        <v>106.5</v>
      </c>
      <c r="AI11">
        <f t="shared" si="4"/>
        <v>105.1</v>
      </c>
      <c r="AJ11">
        <f t="shared" si="4"/>
        <v>104.4</v>
      </c>
      <c r="AK11">
        <f t="shared" si="5"/>
        <v>105.35</v>
      </c>
      <c r="AL11">
        <f t="shared" si="6"/>
        <v>104.5</v>
      </c>
      <c r="AM11">
        <f t="shared" si="7"/>
        <v>107.1</v>
      </c>
      <c r="AN11">
        <f t="shared" si="8"/>
        <v>105.35</v>
      </c>
      <c r="AO11">
        <f t="shared" si="9"/>
        <v>105.57777777777778</v>
      </c>
    </row>
    <row r="12" spans="1:41" x14ac:dyDescent="0.45">
      <c r="A12" t="s">
        <v>33</v>
      </c>
      <c r="B12">
        <v>2013</v>
      </c>
      <c r="C12" t="s">
        <v>37</v>
      </c>
      <c r="D12">
        <v>100.5</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106.4</v>
      </c>
      <c r="W12">
        <v>106.5</v>
      </c>
      <c r="X12">
        <v>105.7</v>
      </c>
      <c r="Y12">
        <v>105</v>
      </c>
      <c r="Z12">
        <v>104</v>
      </c>
      <c r="AA12">
        <v>105.2</v>
      </c>
      <c r="AB12">
        <v>103.2</v>
      </c>
      <c r="AC12">
        <v>105.1</v>
      </c>
      <c r="AD12">
        <v>105.7</v>
      </c>
      <c r="AE12">
        <f t="shared" si="1"/>
        <v>108.8</v>
      </c>
      <c r="AF12">
        <f t="shared" si="0"/>
        <v>100.5</v>
      </c>
      <c r="AG12">
        <f t="shared" si="2"/>
        <v>105.2</v>
      </c>
      <c r="AH12">
        <f t="shared" si="3"/>
        <v>106.4</v>
      </c>
      <c r="AI12">
        <f t="shared" si="4"/>
        <v>105.7</v>
      </c>
      <c r="AJ12">
        <f t="shared" si="4"/>
        <v>105</v>
      </c>
      <c r="AK12">
        <f t="shared" si="5"/>
        <v>105.45</v>
      </c>
      <c r="AL12">
        <f t="shared" si="6"/>
        <v>104</v>
      </c>
      <c r="AM12">
        <f t="shared" si="7"/>
        <v>108.5</v>
      </c>
      <c r="AN12">
        <f t="shared" si="8"/>
        <v>105.8</v>
      </c>
      <c r="AO12">
        <f t="shared" si="9"/>
        <v>105.53500000000001</v>
      </c>
    </row>
    <row r="13" spans="1:41" x14ac:dyDescent="0.45">
      <c r="A13" t="s">
        <v>34</v>
      </c>
      <c r="B13">
        <v>2013</v>
      </c>
      <c r="C13" t="s">
        <v>37</v>
      </c>
      <c r="D13">
        <v>100.5</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106.5</v>
      </c>
      <c r="W13">
        <v>106.3</v>
      </c>
      <c r="X13">
        <v>105.3</v>
      </c>
      <c r="Y13">
        <v>104.7</v>
      </c>
      <c r="Z13">
        <v>104.2</v>
      </c>
      <c r="AA13">
        <v>105</v>
      </c>
      <c r="AB13">
        <v>102.9</v>
      </c>
      <c r="AC13">
        <v>104.8</v>
      </c>
      <c r="AD13">
        <v>106.1</v>
      </c>
      <c r="AE13">
        <f t="shared" si="1"/>
        <v>107.7</v>
      </c>
      <c r="AF13">
        <f t="shared" si="0"/>
        <v>100.5</v>
      </c>
      <c r="AG13">
        <f t="shared" si="2"/>
        <v>105</v>
      </c>
      <c r="AH13">
        <f t="shared" si="3"/>
        <v>106.5</v>
      </c>
      <c r="AI13">
        <f t="shared" si="4"/>
        <v>105.3</v>
      </c>
      <c r="AJ13">
        <f t="shared" si="4"/>
        <v>104.7</v>
      </c>
      <c r="AK13">
        <f t="shared" si="5"/>
        <v>105.4</v>
      </c>
      <c r="AL13">
        <f t="shared" si="6"/>
        <v>104.2</v>
      </c>
      <c r="AM13">
        <f t="shared" si="7"/>
        <v>107.5</v>
      </c>
      <c r="AN13">
        <f t="shared" si="8"/>
        <v>105.55</v>
      </c>
      <c r="AO13">
        <f t="shared" si="9"/>
        <v>105.23500000000001</v>
      </c>
    </row>
    <row r="14" spans="1:41" x14ac:dyDescent="0.45">
      <c r="A14" t="s">
        <v>30</v>
      </c>
      <c r="B14">
        <v>2013</v>
      </c>
      <c r="C14" t="s">
        <v>38</v>
      </c>
      <c r="D14" t="s">
        <v>32</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v>107.5</v>
      </c>
      <c r="W14">
        <v>106.8</v>
      </c>
      <c r="X14">
        <v>105.7</v>
      </c>
      <c r="Y14">
        <v>104.1</v>
      </c>
      <c r="Z14">
        <v>105</v>
      </c>
      <c r="AA14">
        <v>105.5</v>
      </c>
      <c r="AB14">
        <v>102.1</v>
      </c>
      <c r="AC14">
        <v>104.8</v>
      </c>
      <c r="AD14">
        <v>107.2</v>
      </c>
      <c r="AE14">
        <f t="shared" si="1"/>
        <v>108.1</v>
      </c>
      <c r="AF14" t="str">
        <f t="shared" si="0"/>
        <v>NA</v>
      </c>
      <c r="AG14">
        <f t="shared" si="2"/>
        <v>105.5</v>
      </c>
      <c r="AH14">
        <f t="shared" si="3"/>
        <v>107.5</v>
      </c>
      <c r="AI14">
        <f t="shared" si="4"/>
        <v>105.7</v>
      </c>
      <c r="AJ14">
        <f t="shared" si="4"/>
        <v>104.1</v>
      </c>
      <c r="AK14">
        <f t="shared" si="5"/>
        <v>105.35</v>
      </c>
      <c r="AL14">
        <f t="shared" si="6"/>
        <v>105</v>
      </c>
      <c r="AM14">
        <f t="shared" si="7"/>
        <v>108.1</v>
      </c>
      <c r="AN14">
        <f t="shared" si="8"/>
        <v>105.8</v>
      </c>
      <c r="AO14">
        <f t="shared" si="9"/>
        <v>106.12777777777778</v>
      </c>
    </row>
    <row r="15" spans="1:41" x14ac:dyDescent="0.45">
      <c r="A15" t="s">
        <v>33</v>
      </c>
      <c r="B15">
        <v>2013</v>
      </c>
      <c r="C15" t="s">
        <v>38</v>
      </c>
      <c r="D15">
        <v>100.5</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107.2</v>
      </c>
      <c r="W15">
        <v>107.1</v>
      </c>
      <c r="X15">
        <v>106.2</v>
      </c>
      <c r="Y15">
        <v>103.9</v>
      </c>
      <c r="Z15">
        <v>104.6</v>
      </c>
      <c r="AA15">
        <v>105.7</v>
      </c>
      <c r="AB15">
        <v>102.6</v>
      </c>
      <c r="AC15">
        <v>104.9</v>
      </c>
      <c r="AD15">
        <v>106.6</v>
      </c>
      <c r="AE15">
        <f t="shared" si="1"/>
        <v>111.1</v>
      </c>
      <c r="AF15">
        <f t="shared" si="0"/>
        <v>100.5</v>
      </c>
      <c r="AG15">
        <f t="shared" si="2"/>
        <v>105.7</v>
      </c>
      <c r="AH15">
        <f t="shared" si="3"/>
        <v>107.2</v>
      </c>
      <c r="AI15">
        <f t="shared" si="4"/>
        <v>106.2</v>
      </c>
      <c r="AJ15">
        <f t="shared" si="4"/>
        <v>103.9</v>
      </c>
      <c r="AK15">
        <f t="shared" si="5"/>
        <v>105.44999999999999</v>
      </c>
      <c r="AL15">
        <f t="shared" si="6"/>
        <v>104.6</v>
      </c>
      <c r="AM15">
        <f t="shared" si="7"/>
        <v>109.8</v>
      </c>
      <c r="AN15">
        <f t="shared" si="8"/>
        <v>106</v>
      </c>
      <c r="AO15">
        <f t="shared" si="9"/>
        <v>106.04499999999999</v>
      </c>
    </row>
    <row r="16" spans="1:41" x14ac:dyDescent="0.45">
      <c r="A16" t="s">
        <v>34</v>
      </c>
      <c r="B16">
        <v>2013</v>
      </c>
      <c r="C16" t="s">
        <v>38</v>
      </c>
      <c r="D16">
        <v>100.5</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107.4</v>
      </c>
      <c r="W16">
        <v>106.9</v>
      </c>
      <c r="X16">
        <v>105.9</v>
      </c>
      <c r="Y16">
        <v>104</v>
      </c>
      <c r="Z16">
        <v>104.8</v>
      </c>
      <c r="AA16">
        <v>105.6</v>
      </c>
      <c r="AB16">
        <v>102.3</v>
      </c>
      <c r="AC16">
        <v>104.8</v>
      </c>
      <c r="AD16">
        <v>106.9</v>
      </c>
      <c r="AE16">
        <f t="shared" si="1"/>
        <v>109.2</v>
      </c>
      <c r="AF16">
        <f t="shared" si="0"/>
        <v>100.5</v>
      </c>
      <c r="AG16">
        <f t="shared" si="2"/>
        <v>105.6</v>
      </c>
      <c r="AH16">
        <f t="shared" si="3"/>
        <v>107.4</v>
      </c>
      <c r="AI16">
        <f t="shared" si="4"/>
        <v>105.9</v>
      </c>
      <c r="AJ16">
        <f t="shared" si="4"/>
        <v>104</v>
      </c>
      <c r="AK16">
        <f t="shared" si="5"/>
        <v>105.4</v>
      </c>
      <c r="AL16">
        <f t="shared" si="6"/>
        <v>104.8</v>
      </c>
      <c r="AM16">
        <f t="shared" si="7"/>
        <v>108.6</v>
      </c>
      <c r="AN16">
        <f t="shared" si="8"/>
        <v>105.85</v>
      </c>
      <c r="AO16">
        <f t="shared" si="9"/>
        <v>105.72499999999998</v>
      </c>
    </row>
    <row r="17" spans="1:41" x14ac:dyDescent="0.45">
      <c r="A17" t="s">
        <v>30</v>
      </c>
      <c r="B17">
        <v>2013</v>
      </c>
      <c r="C17" t="s">
        <v>39</v>
      </c>
      <c r="D17" t="s">
        <v>32</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v>108.5</v>
      </c>
      <c r="W17">
        <v>107.5</v>
      </c>
      <c r="X17">
        <v>106.3</v>
      </c>
      <c r="Y17">
        <v>105</v>
      </c>
      <c r="Z17">
        <v>105.6</v>
      </c>
      <c r="AA17">
        <v>106.5</v>
      </c>
      <c r="AB17">
        <v>102.5</v>
      </c>
      <c r="AC17">
        <v>105.5</v>
      </c>
      <c r="AD17">
        <v>108.9</v>
      </c>
      <c r="AE17">
        <f t="shared" si="1"/>
        <v>110.6</v>
      </c>
      <c r="AF17" t="str">
        <f t="shared" si="0"/>
        <v>NA</v>
      </c>
      <c r="AG17">
        <f t="shared" si="2"/>
        <v>106.5</v>
      </c>
      <c r="AH17">
        <f t="shared" si="3"/>
        <v>108.5</v>
      </c>
      <c r="AI17">
        <f t="shared" si="4"/>
        <v>106.3</v>
      </c>
      <c r="AJ17">
        <f t="shared" si="4"/>
        <v>105</v>
      </c>
      <c r="AK17">
        <f t="shared" si="5"/>
        <v>106</v>
      </c>
      <c r="AL17">
        <f t="shared" si="6"/>
        <v>105.6</v>
      </c>
      <c r="AM17">
        <f t="shared" si="7"/>
        <v>109</v>
      </c>
      <c r="AN17">
        <f t="shared" si="8"/>
        <v>106.5</v>
      </c>
      <c r="AO17">
        <f t="shared" si="9"/>
        <v>107.11111111111113</v>
      </c>
    </row>
    <row r="18" spans="1:41" x14ac:dyDescent="0.45">
      <c r="A18" t="s">
        <v>33</v>
      </c>
      <c r="B18">
        <v>2013</v>
      </c>
      <c r="C18" t="s">
        <v>39</v>
      </c>
      <c r="D18">
        <v>106.6</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108</v>
      </c>
      <c r="W18">
        <v>107.7</v>
      </c>
      <c r="X18">
        <v>106.5</v>
      </c>
      <c r="Y18">
        <v>105.2</v>
      </c>
      <c r="Z18">
        <v>105.2</v>
      </c>
      <c r="AA18">
        <v>108.1</v>
      </c>
      <c r="AB18">
        <v>103.3</v>
      </c>
      <c r="AC18">
        <v>106.1</v>
      </c>
      <c r="AD18">
        <v>109.7</v>
      </c>
      <c r="AE18">
        <f t="shared" si="1"/>
        <v>115</v>
      </c>
      <c r="AF18">
        <f t="shared" si="0"/>
        <v>106.6</v>
      </c>
      <c r="AG18">
        <f t="shared" si="2"/>
        <v>108.1</v>
      </c>
      <c r="AH18">
        <f t="shared" si="3"/>
        <v>108</v>
      </c>
      <c r="AI18">
        <f t="shared" si="4"/>
        <v>106.5</v>
      </c>
      <c r="AJ18">
        <f t="shared" si="4"/>
        <v>105.2</v>
      </c>
      <c r="AK18">
        <f t="shared" si="5"/>
        <v>106.1</v>
      </c>
      <c r="AL18">
        <f t="shared" si="6"/>
        <v>105.2</v>
      </c>
      <c r="AM18">
        <f t="shared" si="7"/>
        <v>110.9</v>
      </c>
      <c r="AN18">
        <f t="shared" si="8"/>
        <v>106.9</v>
      </c>
      <c r="AO18">
        <f t="shared" si="9"/>
        <v>107.85000000000002</v>
      </c>
    </row>
    <row r="19" spans="1:41" x14ac:dyDescent="0.45">
      <c r="A19" t="s">
        <v>34</v>
      </c>
      <c r="B19">
        <v>2013</v>
      </c>
      <c r="C19" t="s">
        <v>39</v>
      </c>
      <c r="D19">
        <v>106.6</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108.3</v>
      </c>
      <c r="W19">
        <v>107.6</v>
      </c>
      <c r="X19">
        <v>106.4</v>
      </c>
      <c r="Y19">
        <v>105.1</v>
      </c>
      <c r="Z19">
        <v>105.4</v>
      </c>
      <c r="AA19">
        <v>107.4</v>
      </c>
      <c r="AB19">
        <v>102.8</v>
      </c>
      <c r="AC19">
        <v>105.8</v>
      </c>
      <c r="AD19">
        <v>109.3</v>
      </c>
      <c r="AE19">
        <f t="shared" si="1"/>
        <v>112.2</v>
      </c>
      <c r="AF19">
        <f t="shared" si="0"/>
        <v>106.6</v>
      </c>
      <c r="AG19">
        <f t="shared" si="2"/>
        <v>107.4</v>
      </c>
      <c r="AH19">
        <f t="shared" si="3"/>
        <v>108.3</v>
      </c>
      <c r="AI19">
        <f t="shared" si="4"/>
        <v>106.4</v>
      </c>
      <c r="AJ19">
        <f t="shared" si="4"/>
        <v>105.1</v>
      </c>
      <c r="AK19">
        <f t="shared" si="5"/>
        <v>106.05</v>
      </c>
      <c r="AL19">
        <f t="shared" si="6"/>
        <v>105.4</v>
      </c>
      <c r="AM19">
        <f t="shared" si="7"/>
        <v>109.5</v>
      </c>
      <c r="AN19">
        <f t="shared" si="8"/>
        <v>106.69999999999999</v>
      </c>
      <c r="AO19">
        <f t="shared" si="9"/>
        <v>107.36500000000001</v>
      </c>
    </row>
    <row r="20" spans="1:41" x14ac:dyDescent="0.45">
      <c r="A20" t="s">
        <v>30</v>
      </c>
      <c r="B20">
        <v>2013</v>
      </c>
      <c r="C20" t="s">
        <v>40</v>
      </c>
      <c r="D20" t="s">
        <v>32</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v>109.5</v>
      </c>
      <c r="W20">
        <v>108.3</v>
      </c>
      <c r="X20">
        <v>106.9</v>
      </c>
      <c r="Y20">
        <v>106.8</v>
      </c>
      <c r="Z20">
        <v>106.4</v>
      </c>
      <c r="AA20">
        <v>107.8</v>
      </c>
      <c r="AB20">
        <v>102.5</v>
      </c>
      <c r="AC20">
        <v>106.5</v>
      </c>
      <c r="AD20">
        <v>110.7</v>
      </c>
      <c r="AE20">
        <f t="shared" si="1"/>
        <v>113.1</v>
      </c>
      <c r="AF20" t="str">
        <f t="shared" si="0"/>
        <v>NA</v>
      </c>
      <c r="AG20">
        <f t="shared" si="2"/>
        <v>107.8</v>
      </c>
      <c r="AH20">
        <f t="shared" si="3"/>
        <v>109.5</v>
      </c>
      <c r="AI20">
        <f t="shared" si="4"/>
        <v>106.9</v>
      </c>
      <c r="AJ20">
        <f t="shared" si="4"/>
        <v>106.8</v>
      </c>
      <c r="AK20">
        <f t="shared" si="5"/>
        <v>106.4</v>
      </c>
      <c r="AL20">
        <f t="shared" si="6"/>
        <v>106.4</v>
      </c>
      <c r="AM20">
        <f t="shared" si="7"/>
        <v>109.8</v>
      </c>
      <c r="AN20">
        <f t="shared" si="8"/>
        <v>107.4</v>
      </c>
      <c r="AO20">
        <f t="shared" si="9"/>
        <v>108.23333333333331</v>
      </c>
    </row>
    <row r="21" spans="1:41" x14ac:dyDescent="0.45">
      <c r="A21" t="s">
        <v>33</v>
      </c>
      <c r="B21">
        <v>2013</v>
      </c>
      <c r="C21" t="s">
        <v>40</v>
      </c>
      <c r="D21">
        <v>107.7</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108.6</v>
      </c>
      <c r="W21">
        <v>108.1</v>
      </c>
      <c r="X21">
        <v>107.1</v>
      </c>
      <c r="Y21">
        <v>107.3</v>
      </c>
      <c r="Z21">
        <v>105.9</v>
      </c>
      <c r="AA21">
        <v>110.1</v>
      </c>
      <c r="AB21">
        <v>103.2</v>
      </c>
      <c r="AC21">
        <v>107.3</v>
      </c>
      <c r="AD21">
        <v>111.4</v>
      </c>
      <c r="AE21">
        <f t="shared" si="1"/>
        <v>117.5</v>
      </c>
      <c r="AF21">
        <f t="shared" si="0"/>
        <v>107.7</v>
      </c>
      <c r="AG21">
        <f t="shared" si="2"/>
        <v>110.1</v>
      </c>
      <c r="AH21">
        <f t="shared" si="3"/>
        <v>108.6</v>
      </c>
      <c r="AI21">
        <f t="shared" si="4"/>
        <v>107.1</v>
      </c>
      <c r="AJ21">
        <f t="shared" si="4"/>
        <v>107.3</v>
      </c>
      <c r="AK21">
        <f t="shared" si="5"/>
        <v>106.35</v>
      </c>
      <c r="AL21">
        <f t="shared" si="6"/>
        <v>105.9</v>
      </c>
      <c r="AM21">
        <f t="shared" si="7"/>
        <v>111.7</v>
      </c>
      <c r="AN21">
        <f t="shared" si="8"/>
        <v>107.69999999999999</v>
      </c>
      <c r="AO21">
        <f t="shared" si="9"/>
        <v>108.995</v>
      </c>
    </row>
    <row r="22" spans="1:41" x14ac:dyDescent="0.45">
      <c r="A22" t="s">
        <v>34</v>
      </c>
      <c r="B22">
        <v>2013</v>
      </c>
      <c r="C22" t="s">
        <v>40</v>
      </c>
      <c r="D22">
        <v>107.7</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109.2</v>
      </c>
      <c r="W22">
        <v>108.2</v>
      </c>
      <c r="X22">
        <v>107</v>
      </c>
      <c r="Y22">
        <v>107.1</v>
      </c>
      <c r="Z22">
        <v>106.1</v>
      </c>
      <c r="AA22">
        <v>109.1</v>
      </c>
      <c r="AB22">
        <v>102.8</v>
      </c>
      <c r="AC22">
        <v>106.9</v>
      </c>
      <c r="AD22">
        <v>111</v>
      </c>
      <c r="AE22">
        <f t="shared" si="1"/>
        <v>114.7</v>
      </c>
      <c r="AF22">
        <f t="shared" si="0"/>
        <v>107.7</v>
      </c>
      <c r="AG22">
        <f t="shared" si="2"/>
        <v>109.1</v>
      </c>
      <c r="AH22">
        <f t="shared" si="3"/>
        <v>109.2</v>
      </c>
      <c r="AI22">
        <f t="shared" si="4"/>
        <v>107</v>
      </c>
      <c r="AJ22">
        <f t="shared" si="4"/>
        <v>107.1</v>
      </c>
      <c r="AK22">
        <f t="shared" si="5"/>
        <v>106.4</v>
      </c>
      <c r="AL22">
        <f t="shared" si="6"/>
        <v>106.1</v>
      </c>
      <c r="AM22">
        <f t="shared" si="7"/>
        <v>110.3</v>
      </c>
      <c r="AN22">
        <f t="shared" si="8"/>
        <v>107.55000000000001</v>
      </c>
      <c r="AO22">
        <f t="shared" si="9"/>
        <v>108.51500000000001</v>
      </c>
    </row>
    <row r="23" spans="1:41" x14ac:dyDescent="0.45">
      <c r="A23" t="s">
        <v>30</v>
      </c>
      <c r="B23">
        <v>2013</v>
      </c>
      <c r="C23" t="s">
        <v>41</v>
      </c>
      <c r="D23" t="s">
        <v>32</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v>109.9</v>
      </c>
      <c r="W23">
        <v>108.7</v>
      </c>
      <c r="X23">
        <v>107.5</v>
      </c>
      <c r="Y23">
        <v>107.8</v>
      </c>
      <c r="Z23">
        <v>106.8</v>
      </c>
      <c r="AA23">
        <v>108.7</v>
      </c>
      <c r="AB23">
        <v>105</v>
      </c>
      <c r="AC23">
        <v>107.5</v>
      </c>
      <c r="AD23">
        <v>112.1</v>
      </c>
      <c r="AE23">
        <f t="shared" si="1"/>
        <v>114.9</v>
      </c>
      <c r="AF23" t="str">
        <f t="shared" si="0"/>
        <v>NA</v>
      </c>
      <c r="AG23">
        <f t="shared" si="2"/>
        <v>108.7</v>
      </c>
      <c r="AH23">
        <f t="shared" si="3"/>
        <v>109.9</v>
      </c>
      <c r="AI23">
        <f t="shared" si="4"/>
        <v>107.5</v>
      </c>
      <c r="AJ23">
        <f t="shared" si="4"/>
        <v>107.8</v>
      </c>
      <c r="AK23">
        <f t="shared" si="5"/>
        <v>108.05</v>
      </c>
      <c r="AL23">
        <f t="shared" si="6"/>
        <v>106.8</v>
      </c>
      <c r="AM23">
        <f t="shared" si="7"/>
        <v>110.7</v>
      </c>
      <c r="AN23">
        <f t="shared" si="8"/>
        <v>108.1</v>
      </c>
      <c r="AO23">
        <f t="shared" si="9"/>
        <v>109.1611111111111</v>
      </c>
    </row>
    <row r="24" spans="1:41" x14ac:dyDescent="0.45">
      <c r="A24" t="s">
        <v>33</v>
      </c>
      <c r="B24">
        <v>2013</v>
      </c>
      <c r="C24" t="s">
        <v>41</v>
      </c>
      <c r="D24">
        <v>108.9</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109.3</v>
      </c>
      <c r="W24">
        <v>108.7</v>
      </c>
      <c r="X24">
        <v>107.6</v>
      </c>
      <c r="Y24">
        <v>108.1</v>
      </c>
      <c r="Z24">
        <v>106.5</v>
      </c>
      <c r="AA24">
        <v>110.8</v>
      </c>
      <c r="AB24">
        <v>106</v>
      </c>
      <c r="AC24">
        <v>108.3</v>
      </c>
      <c r="AD24">
        <v>112.7</v>
      </c>
      <c r="AE24">
        <f t="shared" si="1"/>
        <v>119.6</v>
      </c>
      <c r="AF24">
        <f t="shared" si="0"/>
        <v>108.9</v>
      </c>
      <c r="AG24">
        <f t="shared" si="2"/>
        <v>110.8</v>
      </c>
      <c r="AH24">
        <f t="shared" si="3"/>
        <v>109.3</v>
      </c>
      <c r="AI24">
        <f t="shared" si="4"/>
        <v>107.6</v>
      </c>
      <c r="AJ24">
        <f t="shared" si="4"/>
        <v>108.1</v>
      </c>
      <c r="AK24">
        <f t="shared" si="5"/>
        <v>108.1</v>
      </c>
      <c r="AL24">
        <f t="shared" si="6"/>
        <v>106.5</v>
      </c>
      <c r="AM24">
        <f t="shared" si="7"/>
        <v>112.4</v>
      </c>
      <c r="AN24">
        <f t="shared" si="8"/>
        <v>108.5</v>
      </c>
      <c r="AO24">
        <f t="shared" si="9"/>
        <v>109.98000000000002</v>
      </c>
    </row>
    <row r="25" spans="1:41" x14ac:dyDescent="0.45">
      <c r="A25" t="s">
        <v>34</v>
      </c>
      <c r="B25">
        <v>2013</v>
      </c>
      <c r="C25" t="s">
        <v>41</v>
      </c>
      <c r="D25">
        <v>108.9</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109.7</v>
      </c>
      <c r="W25">
        <v>108.7</v>
      </c>
      <c r="X25">
        <v>107.5</v>
      </c>
      <c r="Y25">
        <v>108</v>
      </c>
      <c r="Z25">
        <v>106.6</v>
      </c>
      <c r="AA25">
        <v>109.9</v>
      </c>
      <c r="AB25">
        <v>105.4</v>
      </c>
      <c r="AC25">
        <v>107.9</v>
      </c>
      <c r="AD25">
        <v>112.4</v>
      </c>
      <c r="AE25">
        <f t="shared" si="1"/>
        <v>116.6</v>
      </c>
      <c r="AF25">
        <f t="shared" si="0"/>
        <v>108.9</v>
      </c>
      <c r="AG25">
        <f t="shared" si="2"/>
        <v>109.9</v>
      </c>
      <c r="AH25">
        <f t="shared" si="3"/>
        <v>109.7</v>
      </c>
      <c r="AI25">
        <f t="shared" si="4"/>
        <v>107.5</v>
      </c>
      <c r="AJ25">
        <f t="shared" si="4"/>
        <v>108</v>
      </c>
      <c r="AK25">
        <f t="shared" si="5"/>
        <v>108.05000000000001</v>
      </c>
      <c r="AL25">
        <f t="shared" si="6"/>
        <v>106.6</v>
      </c>
      <c r="AM25">
        <f t="shared" si="7"/>
        <v>111.2</v>
      </c>
      <c r="AN25">
        <f t="shared" si="8"/>
        <v>108.30000000000001</v>
      </c>
      <c r="AO25">
        <f t="shared" si="9"/>
        <v>109.47499999999999</v>
      </c>
    </row>
    <row r="26" spans="1:41" x14ac:dyDescent="0.45">
      <c r="A26" t="s">
        <v>30</v>
      </c>
      <c r="B26">
        <v>2013</v>
      </c>
      <c r="C26" t="s">
        <v>42</v>
      </c>
      <c r="D26" t="s">
        <v>32</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v>111.1</v>
      </c>
      <c r="W26">
        <v>109.6</v>
      </c>
      <c r="X26">
        <v>108.3</v>
      </c>
      <c r="Y26">
        <v>109.3</v>
      </c>
      <c r="Z26">
        <v>107.7</v>
      </c>
      <c r="AA26">
        <v>109.8</v>
      </c>
      <c r="AB26">
        <v>106.7</v>
      </c>
      <c r="AC26">
        <v>108.7</v>
      </c>
      <c r="AD26">
        <v>114.2</v>
      </c>
      <c r="AE26">
        <f t="shared" si="1"/>
        <v>117.8</v>
      </c>
      <c r="AF26" t="str">
        <f t="shared" si="0"/>
        <v>NA</v>
      </c>
      <c r="AG26">
        <f t="shared" si="2"/>
        <v>109.8</v>
      </c>
      <c r="AH26">
        <f t="shared" si="3"/>
        <v>111.1</v>
      </c>
      <c r="AI26">
        <f t="shared" si="4"/>
        <v>108.3</v>
      </c>
      <c r="AJ26">
        <f t="shared" si="4"/>
        <v>109.3</v>
      </c>
      <c r="AK26">
        <f t="shared" si="5"/>
        <v>109.6</v>
      </c>
      <c r="AL26">
        <f t="shared" si="6"/>
        <v>107.7</v>
      </c>
      <c r="AM26">
        <f t="shared" si="7"/>
        <v>111.7</v>
      </c>
      <c r="AN26">
        <f t="shared" si="8"/>
        <v>109.15</v>
      </c>
      <c r="AO26">
        <f t="shared" si="9"/>
        <v>110.49444444444445</v>
      </c>
    </row>
    <row r="27" spans="1:41" x14ac:dyDescent="0.45">
      <c r="A27" t="s">
        <v>33</v>
      </c>
      <c r="B27">
        <v>2013</v>
      </c>
      <c r="C27" t="s">
        <v>42</v>
      </c>
      <c r="D27">
        <v>109.7</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109.5</v>
      </c>
      <c r="W27">
        <v>109.6</v>
      </c>
      <c r="X27">
        <v>107.9</v>
      </c>
      <c r="Y27">
        <v>110.4</v>
      </c>
      <c r="Z27">
        <v>107.4</v>
      </c>
      <c r="AA27">
        <v>111.2</v>
      </c>
      <c r="AB27">
        <v>106.9</v>
      </c>
      <c r="AC27">
        <v>109.4</v>
      </c>
      <c r="AD27">
        <v>113.2</v>
      </c>
      <c r="AE27">
        <f t="shared" si="1"/>
        <v>119.2</v>
      </c>
      <c r="AF27">
        <f t="shared" si="0"/>
        <v>109.7</v>
      </c>
      <c r="AG27">
        <f t="shared" si="2"/>
        <v>111.2</v>
      </c>
      <c r="AH27">
        <f t="shared" si="3"/>
        <v>109.5</v>
      </c>
      <c r="AI27">
        <f t="shared" si="4"/>
        <v>107.9</v>
      </c>
      <c r="AJ27">
        <f t="shared" si="4"/>
        <v>110.4</v>
      </c>
      <c r="AK27">
        <f t="shared" si="5"/>
        <v>109</v>
      </c>
      <c r="AL27">
        <f t="shared" si="6"/>
        <v>107.4</v>
      </c>
      <c r="AM27">
        <f t="shared" si="7"/>
        <v>112.9</v>
      </c>
      <c r="AN27">
        <f t="shared" si="8"/>
        <v>109.5</v>
      </c>
      <c r="AO27">
        <f t="shared" si="9"/>
        <v>110.66999999999999</v>
      </c>
    </row>
    <row r="28" spans="1:41" x14ac:dyDescent="0.45">
      <c r="A28" t="s">
        <v>34</v>
      </c>
      <c r="B28">
        <v>2013</v>
      </c>
      <c r="C28" t="s">
        <v>42</v>
      </c>
      <c r="D28">
        <v>109.7</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110.5</v>
      </c>
      <c r="W28">
        <v>109.6</v>
      </c>
      <c r="X28">
        <v>108.1</v>
      </c>
      <c r="Y28">
        <v>109.9</v>
      </c>
      <c r="Z28">
        <v>107.5</v>
      </c>
      <c r="AA28">
        <v>110.6</v>
      </c>
      <c r="AB28">
        <v>106.8</v>
      </c>
      <c r="AC28">
        <v>109</v>
      </c>
      <c r="AD28">
        <v>113.7</v>
      </c>
      <c r="AE28">
        <f t="shared" si="1"/>
        <v>118.3</v>
      </c>
      <c r="AF28">
        <f t="shared" si="0"/>
        <v>109.7</v>
      </c>
      <c r="AG28">
        <f t="shared" si="2"/>
        <v>110.6</v>
      </c>
      <c r="AH28">
        <f t="shared" si="3"/>
        <v>110.5</v>
      </c>
      <c r="AI28">
        <f t="shared" si="4"/>
        <v>108.1</v>
      </c>
      <c r="AJ28">
        <f t="shared" si="4"/>
        <v>109.9</v>
      </c>
      <c r="AK28">
        <f t="shared" si="5"/>
        <v>109.35</v>
      </c>
      <c r="AL28">
        <f t="shared" si="6"/>
        <v>107.5</v>
      </c>
      <c r="AM28">
        <f t="shared" si="7"/>
        <v>112</v>
      </c>
      <c r="AN28">
        <f t="shared" si="8"/>
        <v>109.3</v>
      </c>
      <c r="AO28">
        <f t="shared" si="9"/>
        <v>110.52500000000001</v>
      </c>
    </row>
    <row r="29" spans="1:41" x14ac:dyDescent="0.45">
      <c r="A29" t="s">
        <v>30</v>
      </c>
      <c r="B29">
        <v>2013</v>
      </c>
      <c r="C29" t="s">
        <v>43</v>
      </c>
      <c r="D29" t="s">
        <v>32</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v>111.6</v>
      </c>
      <c r="W29">
        <v>110.4</v>
      </c>
      <c r="X29">
        <v>108.9</v>
      </c>
      <c r="Y29">
        <v>109.3</v>
      </c>
      <c r="Z29">
        <v>108.3</v>
      </c>
      <c r="AA29">
        <v>110.2</v>
      </c>
      <c r="AB29">
        <v>107.5</v>
      </c>
      <c r="AC29">
        <v>109.1</v>
      </c>
      <c r="AD29">
        <v>115.5</v>
      </c>
      <c r="AE29">
        <f t="shared" si="1"/>
        <v>119.8</v>
      </c>
      <c r="AF29" t="str">
        <f t="shared" si="0"/>
        <v>NA</v>
      </c>
      <c r="AG29">
        <f t="shared" si="2"/>
        <v>110.2</v>
      </c>
      <c r="AH29">
        <f t="shared" si="3"/>
        <v>111.6</v>
      </c>
      <c r="AI29">
        <f t="shared" si="4"/>
        <v>108.9</v>
      </c>
      <c r="AJ29">
        <f t="shared" si="4"/>
        <v>109.3</v>
      </c>
      <c r="AK29">
        <f t="shared" si="5"/>
        <v>110.45</v>
      </c>
      <c r="AL29">
        <f t="shared" si="6"/>
        <v>108.3</v>
      </c>
      <c r="AM29">
        <f t="shared" si="7"/>
        <v>112.2</v>
      </c>
      <c r="AN29">
        <f t="shared" si="8"/>
        <v>109.75</v>
      </c>
      <c r="AO29">
        <f t="shared" si="9"/>
        <v>111.16666666666667</v>
      </c>
    </row>
    <row r="30" spans="1:41" x14ac:dyDescent="0.45">
      <c r="A30" t="s">
        <v>33</v>
      </c>
      <c r="B30">
        <v>2013</v>
      </c>
      <c r="C30" t="s">
        <v>43</v>
      </c>
      <c r="D30">
        <v>110.5</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109.7</v>
      </c>
      <c r="W30">
        <v>110.2</v>
      </c>
      <c r="X30">
        <v>108.2</v>
      </c>
      <c r="Y30">
        <v>109.7</v>
      </c>
      <c r="Z30">
        <v>108</v>
      </c>
      <c r="AA30">
        <v>111.3</v>
      </c>
      <c r="AB30">
        <v>107.3</v>
      </c>
      <c r="AC30">
        <v>109.4</v>
      </c>
      <c r="AD30">
        <v>114</v>
      </c>
      <c r="AE30">
        <f t="shared" si="1"/>
        <v>120.8</v>
      </c>
      <c r="AF30">
        <f t="shared" si="0"/>
        <v>110.5</v>
      </c>
      <c r="AG30">
        <f t="shared" si="2"/>
        <v>111.3</v>
      </c>
      <c r="AH30">
        <f t="shared" si="3"/>
        <v>109.7</v>
      </c>
      <c r="AI30">
        <f t="shared" si="4"/>
        <v>108.2</v>
      </c>
      <c r="AJ30">
        <f t="shared" si="4"/>
        <v>109.7</v>
      </c>
      <c r="AK30">
        <f t="shared" si="5"/>
        <v>109.65</v>
      </c>
      <c r="AL30">
        <f t="shared" si="6"/>
        <v>108</v>
      </c>
      <c r="AM30">
        <f t="shared" si="7"/>
        <v>113.5</v>
      </c>
      <c r="AN30">
        <f t="shared" si="8"/>
        <v>109.80000000000001</v>
      </c>
      <c r="AO30">
        <f t="shared" si="9"/>
        <v>111.11500000000001</v>
      </c>
    </row>
    <row r="31" spans="1:41" x14ac:dyDescent="0.45">
      <c r="A31" t="s">
        <v>34</v>
      </c>
      <c r="B31">
        <v>2013</v>
      </c>
      <c r="C31" t="s">
        <v>43</v>
      </c>
      <c r="D31">
        <v>110.5</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110.9</v>
      </c>
      <c r="W31">
        <v>110.3</v>
      </c>
      <c r="X31">
        <v>108.6</v>
      </c>
      <c r="Y31">
        <v>109.5</v>
      </c>
      <c r="Z31">
        <v>108.1</v>
      </c>
      <c r="AA31">
        <v>110.8</v>
      </c>
      <c r="AB31">
        <v>107.4</v>
      </c>
      <c r="AC31">
        <v>109.2</v>
      </c>
      <c r="AD31">
        <v>114.8</v>
      </c>
      <c r="AE31">
        <f t="shared" si="1"/>
        <v>120.2</v>
      </c>
      <c r="AF31">
        <f t="shared" si="0"/>
        <v>110.5</v>
      </c>
      <c r="AG31">
        <f t="shared" si="2"/>
        <v>110.8</v>
      </c>
      <c r="AH31">
        <f t="shared" si="3"/>
        <v>110.9</v>
      </c>
      <c r="AI31">
        <f t="shared" si="4"/>
        <v>108.6</v>
      </c>
      <c r="AJ31">
        <f t="shared" si="4"/>
        <v>109.5</v>
      </c>
      <c r="AK31">
        <f t="shared" si="5"/>
        <v>110.1</v>
      </c>
      <c r="AL31">
        <f t="shared" si="6"/>
        <v>108.1</v>
      </c>
      <c r="AM31">
        <f t="shared" si="7"/>
        <v>112.5</v>
      </c>
      <c r="AN31">
        <f t="shared" si="8"/>
        <v>109.75</v>
      </c>
      <c r="AO31">
        <f t="shared" si="9"/>
        <v>111.095</v>
      </c>
    </row>
    <row r="32" spans="1:41" x14ac:dyDescent="0.45">
      <c r="A32" t="s">
        <v>30</v>
      </c>
      <c r="B32">
        <v>2013</v>
      </c>
      <c r="C32" t="s">
        <v>44</v>
      </c>
      <c r="D32" t="s">
        <v>32</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v>112.6</v>
      </c>
      <c r="W32">
        <v>111.3</v>
      </c>
      <c r="X32">
        <v>109.7</v>
      </c>
      <c r="Y32">
        <v>109.6</v>
      </c>
      <c r="Z32">
        <v>108.7</v>
      </c>
      <c r="AA32">
        <v>111</v>
      </c>
      <c r="AB32">
        <v>108.2</v>
      </c>
      <c r="AC32">
        <v>109.8</v>
      </c>
      <c r="AD32">
        <v>117.4</v>
      </c>
      <c r="AE32">
        <f t="shared" si="1"/>
        <v>122.5</v>
      </c>
      <c r="AF32" t="str">
        <f t="shared" si="0"/>
        <v>NA</v>
      </c>
      <c r="AG32">
        <f t="shared" si="2"/>
        <v>111</v>
      </c>
      <c r="AH32">
        <f t="shared" si="3"/>
        <v>112.6</v>
      </c>
      <c r="AI32">
        <f t="shared" si="4"/>
        <v>109.7</v>
      </c>
      <c r="AJ32">
        <f t="shared" si="4"/>
        <v>109.6</v>
      </c>
      <c r="AK32">
        <f t="shared" si="5"/>
        <v>111.30000000000001</v>
      </c>
      <c r="AL32">
        <f t="shared" si="6"/>
        <v>108.7</v>
      </c>
      <c r="AM32">
        <f t="shared" si="7"/>
        <v>112.8</v>
      </c>
      <c r="AN32">
        <f t="shared" si="8"/>
        <v>110.55</v>
      </c>
      <c r="AO32">
        <f t="shared" si="9"/>
        <v>112.08333333333333</v>
      </c>
    </row>
    <row r="33" spans="1:41" x14ac:dyDescent="0.45">
      <c r="A33" t="s">
        <v>33</v>
      </c>
      <c r="B33">
        <v>2013</v>
      </c>
      <c r="C33" t="s">
        <v>45</v>
      </c>
      <c r="D33">
        <v>111.1</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110</v>
      </c>
      <c r="W33">
        <v>110.9</v>
      </c>
      <c r="X33">
        <v>108.6</v>
      </c>
      <c r="Y33">
        <v>109.5</v>
      </c>
      <c r="Z33">
        <v>108.5</v>
      </c>
      <c r="AA33">
        <v>111.3</v>
      </c>
      <c r="AB33">
        <v>107.9</v>
      </c>
      <c r="AC33">
        <v>109.6</v>
      </c>
      <c r="AD33">
        <v>115</v>
      </c>
      <c r="AE33">
        <f t="shared" si="1"/>
        <v>122.9</v>
      </c>
      <c r="AF33">
        <f t="shared" si="0"/>
        <v>111.1</v>
      </c>
      <c r="AG33">
        <f t="shared" si="2"/>
        <v>111.3</v>
      </c>
      <c r="AH33">
        <f t="shared" si="3"/>
        <v>110</v>
      </c>
      <c r="AI33">
        <f t="shared" si="4"/>
        <v>108.6</v>
      </c>
      <c r="AJ33">
        <f t="shared" si="4"/>
        <v>109.5</v>
      </c>
      <c r="AK33">
        <f t="shared" si="5"/>
        <v>110.45</v>
      </c>
      <c r="AL33">
        <f t="shared" si="6"/>
        <v>108.5</v>
      </c>
      <c r="AM33">
        <f t="shared" si="7"/>
        <v>114.1</v>
      </c>
      <c r="AN33">
        <f t="shared" si="8"/>
        <v>110.25</v>
      </c>
      <c r="AO33">
        <f t="shared" si="9"/>
        <v>111.67</v>
      </c>
    </row>
    <row r="34" spans="1:41" x14ac:dyDescent="0.45">
      <c r="A34" t="s">
        <v>34</v>
      </c>
      <c r="B34">
        <v>2013</v>
      </c>
      <c r="C34" t="s">
        <v>45</v>
      </c>
      <c r="D34">
        <v>111.1</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111.6</v>
      </c>
      <c r="W34">
        <v>111.1</v>
      </c>
      <c r="X34">
        <v>109.3</v>
      </c>
      <c r="Y34">
        <v>109.5</v>
      </c>
      <c r="Z34">
        <v>108.6</v>
      </c>
      <c r="AA34">
        <v>111.2</v>
      </c>
      <c r="AB34">
        <v>108.1</v>
      </c>
      <c r="AC34">
        <v>109.7</v>
      </c>
      <c r="AD34">
        <v>116.3</v>
      </c>
      <c r="AE34">
        <f t="shared" si="1"/>
        <v>122.6</v>
      </c>
      <c r="AF34">
        <f t="shared" si="0"/>
        <v>111.1</v>
      </c>
      <c r="AG34">
        <f t="shared" si="2"/>
        <v>111.2</v>
      </c>
      <c r="AH34">
        <f t="shared" si="3"/>
        <v>111.6</v>
      </c>
      <c r="AI34">
        <f t="shared" si="4"/>
        <v>109.3</v>
      </c>
      <c r="AJ34">
        <f t="shared" si="4"/>
        <v>109.5</v>
      </c>
      <c r="AK34">
        <f t="shared" si="5"/>
        <v>110.94999999999999</v>
      </c>
      <c r="AL34">
        <f t="shared" si="6"/>
        <v>108.6</v>
      </c>
      <c r="AM34">
        <f t="shared" si="7"/>
        <v>113.1</v>
      </c>
      <c r="AN34">
        <f t="shared" si="8"/>
        <v>110.4</v>
      </c>
      <c r="AO34">
        <f t="shared" si="9"/>
        <v>111.83500000000001</v>
      </c>
    </row>
    <row r="35" spans="1:41" x14ac:dyDescent="0.45">
      <c r="A35" t="s">
        <v>30</v>
      </c>
      <c r="B35">
        <v>2013</v>
      </c>
      <c r="C35" t="s">
        <v>46</v>
      </c>
      <c r="D35" t="s">
        <v>32</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v>112.8</v>
      </c>
      <c r="W35">
        <v>112.1</v>
      </c>
      <c r="X35">
        <v>110.1</v>
      </c>
      <c r="Y35">
        <v>109.9</v>
      </c>
      <c r="Z35">
        <v>109.2</v>
      </c>
      <c r="AA35">
        <v>111.6</v>
      </c>
      <c r="AB35">
        <v>108.1</v>
      </c>
      <c r="AC35">
        <v>110.1</v>
      </c>
      <c r="AD35">
        <v>115.5</v>
      </c>
      <c r="AE35">
        <f t="shared" si="1"/>
        <v>118.7</v>
      </c>
      <c r="AF35" t="str">
        <f t="shared" si="0"/>
        <v>NA</v>
      </c>
      <c r="AG35">
        <f t="shared" si="2"/>
        <v>111.6</v>
      </c>
      <c r="AH35">
        <f t="shared" si="3"/>
        <v>112.8</v>
      </c>
      <c r="AI35">
        <f t="shared" si="4"/>
        <v>110.1</v>
      </c>
      <c r="AJ35">
        <f t="shared" si="4"/>
        <v>109.9</v>
      </c>
      <c r="AK35">
        <f t="shared" si="5"/>
        <v>111.8</v>
      </c>
      <c r="AL35">
        <f t="shared" si="6"/>
        <v>109.2</v>
      </c>
      <c r="AM35">
        <f t="shared" si="7"/>
        <v>113.6</v>
      </c>
      <c r="AN35">
        <f t="shared" si="8"/>
        <v>111.1</v>
      </c>
      <c r="AO35">
        <f t="shared" si="9"/>
        <v>112.0888888888889</v>
      </c>
    </row>
    <row r="36" spans="1:41" x14ac:dyDescent="0.45">
      <c r="A36" t="s">
        <v>33</v>
      </c>
      <c r="B36">
        <v>2013</v>
      </c>
      <c r="C36" t="s">
        <v>46</v>
      </c>
      <c r="D36">
        <v>110.7</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110.4</v>
      </c>
      <c r="W36">
        <v>111.3</v>
      </c>
      <c r="X36">
        <v>109</v>
      </c>
      <c r="Y36">
        <v>109.7</v>
      </c>
      <c r="Z36">
        <v>108.9</v>
      </c>
      <c r="AA36">
        <v>111.4</v>
      </c>
      <c r="AB36">
        <v>107.7</v>
      </c>
      <c r="AC36">
        <v>109.8</v>
      </c>
      <c r="AD36">
        <v>113.3</v>
      </c>
      <c r="AE36">
        <f t="shared" si="1"/>
        <v>117.8</v>
      </c>
      <c r="AF36">
        <f t="shared" si="0"/>
        <v>110.7</v>
      </c>
      <c r="AG36">
        <f t="shared" si="2"/>
        <v>111.4</v>
      </c>
      <c r="AH36">
        <f t="shared" si="3"/>
        <v>110.4</v>
      </c>
      <c r="AI36">
        <f t="shared" si="4"/>
        <v>109</v>
      </c>
      <c r="AJ36">
        <f t="shared" si="4"/>
        <v>109.7</v>
      </c>
      <c r="AK36">
        <f t="shared" si="5"/>
        <v>110.7</v>
      </c>
      <c r="AL36">
        <f t="shared" si="6"/>
        <v>108.9</v>
      </c>
      <c r="AM36">
        <f t="shared" si="7"/>
        <v>115</v>
      </c>
      <c r="AN36">
        <f t="shared" si="8"/>
        <v>110.55</v>
      </c>
      <c r="AO36">
        <f t="shared" si="9"/>
        <v>111.41500000000001</v>
      </c>
    </row>
    <row r="37" spans="1:41" x14ac:dyDescent="0.45">
      <c r="A37" t="s">
        <v>34</v>
      </c>
      <c r="B37">
        <v>2013</v>
      </c>
      <c r="C37" t="s">
        <v>46</v>
      </c>
      <c r="D37">
        <v>110.7</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111.9</v>
      </c>
      <c r="W37">
        <v>111.7</v>
      </c>
      <c r="X37">
        <v>109.7</v>
      </c>
      <c r="Y37">
        <v>109.8</v>
      </c>
      <c r="Z37">
        <v>109</v>
      </c>
      <c r="AA37">
        <v>111.5</v>
      </c>
      <c r="AB37">
        <v>107.9</v>
      </c>
      <c r="AC37">
        <v>110</v>
      </c>
      <c r="AD37">
        <v>114.5</v>
      </c>
      <c r="AE37">
        <f t="shared" si="1"/>
        <v>118.4</v>
      </c>
      <c r="AF37">
        <f t="shared" si="0"/>
        <v>110.7</v>
      </c>
      <c r="AG37">
        <f t="shared" si="2"/>
        <v>111.5</v>
      </c>
      <c r="AH37">
        <f t="shared" si="3"/>
        <v>111.9</v>
      </c>
      <c r="AI37">
        <f t="shared" si="4"/>
        <v>109.7</v>
      </c>
      <c r="AJ37">
        <f t="shared" si="4"/>
        <v>109.8</v>
      </c>
      <c r="AK37">
        <f t="shared" si="5"/>
        <v>111.35</v>
      </c>
      <c r="AL37">
        <f t="shared" si="6"/>
        <v>109</v>
      </c>
      <c r="AM37">
        <f t="shared" si="7"/>
        <v>114</v>
      </c>
      <c r="AN37">
        <f t="shared" si="8"/>
        <v>110.85</v>
      </c>
      <c r="AO37">
        <f t="shared" si="9"/>
        <v>111.72</v>
      </c>
    </row>
    <row r="38" spans="1:41" x14ac:dyDescent="0.45">
      <c r="A38" t="s">
        <v>30</v>
      </c>
      <c r="B38">
        <v>2014</v>
      </c>
      <c r="C38" t="s">
        <v>31</v>
      </c>
      <c r="D38" t="s">
        <v>32</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v>113</v>
      </c>
      <c r="W38">
        <v>112.6</v>
      </c>
      <c r="X38">
        <v>110.6</v>
      </c>
      <c r="Y38">
        <v>110.5</v>
      </c>
      <c r="Z38">
        <v>109.6</v>
      </c>
      <c r="AA38">
        <v>111.8</v>
      </c>
      <c r="AB38">
        <v>108.3</v>
      </c>
      <c r="AC38">
        <v>110.6</v>
      </c>
      <c r="AD38">
        <v>114.2</v>
      </c>
      <c r="AE38">
        <f t="shared" si="1"/>
        <v>116</v>
      </c>
      <c r="AF38" t="str">
        <f t="shared" si="0"/>
        <v>NA</v>
      </c>
      <c r="AG38">
        <f t="shared" si="2"/>
        <v>111.8</v>
      </c>
      <c r="AH38">
        <f t="shared" si="3"/>
        <v>113</v>
      </c>
      <c r="AI38">
        <f t="shared" si="4"/>
        <v>110.6</v>
      </c>
      <c r="AJ38">
        <f t="shared" si="4"/>
        <v>110.5</v>
      </c>
      <c r="AK38">
        <f t="shared" si="5"/>
        <v>112.25</v>
      </c>
      <c r="AL38">
        <f t="shared" si="6"/>
        <v>109.6</v>
      </c>
      <c r="AM38">
        <f t="shared" si="7"/>
        <v>114</v>
      </c>
      <c r="AN38">
        <f t="shared" si="8"/>
        <v>111.6</v>
      </c>
      <c r="AO38">
        <f t="shared" si="9"/>
        <v>112.15</v>
      </c>
    </row>
    <row r="39" spans="1:41" x14ac:dyDescent="0.45">
      <c r="A39" t="s">
        <v>33</v>
      </c>
      <c r="B39">
        <v>2014</v>
      </c>
      <c r="C39" t="s">
        <v>31</v>
      </c>
      <c r="D39">
        <v>111.6</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v>
      </c>
      <c r="W39">
        <v>111.9</v>
      </c>
      <c r="X39">
        <v>109.7</v>
      </c>
      <c r="Y39">
        <v>110.8</v>
      </c>
      <c r="Z39">
        <v>109.8</v>
      </c>
      <c r="AA39">
        <v>111.5</v>
      </c>
      <c r="AB39">
        <v>108</v>
      </c>
      <c r="AC39">
        <v>110.5</v>
      </c>
      <c r="AD39">
        <v>112.9</v>
      </c>
      <c r="AE39">
        <f t="shared" si="1"/>
        <v>115.5</v>
      </c>
      <c r="AF39">
        <f t="shared" si="0"/>
        <v>111.6</v>
      </c>
      <c r="AG39">
        <f t="shared" si="2"/>
        <v>111.5</v>
      </c>
      <c r="AH39">
        <f t="shared" si="3"/>
        <v>111</v>
      </c>
      <c r="AI39">
        <f t="shared" si="4"/>
        <v>109.7</v>
      </c>
      <c r="AJ39">
        <f t="shared" si="4"/>
        <v>110.8</v>
      </c>
      <c r="AK39">
        <f t="shared" si="5"/>
        <v>111.15</v>
      </c>
      <c r="AL39">
        <f t="shared" si="6"/>
        <v>109.8</v>
      </c>
      <c r="AM39">
        <f t="shared" si="7"/>
        <v>115.7</v>
      </c>
      <c r="AN39">
        <f t="shared" si="8"/>
        <v>111.2</v>
      </c>
      <c r="AO39">
        <f t="shared" si="9"/>
        <v>111.795</v>
      </c>
    </row>
    <row r="40" spans="1:41" x14ac:dyDescent="0.45">
      <c r="A40" t="s">
        <v>34</v>
      </c>
      <c r="B40">
        <v>2014</v>
      </c>
      <c r="C40" t="s">
        <v>31</v>
      </c>
      <c r="D40">
        <v>111.6</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112.2</v>
      </c>
      <c r="W40">
        <v>112.3</v>
      </c>
      <c r="X40">
        <v>110.3</v>
      </c>
      <c r="Y40">
        <v>110.7</v>
      </c>
      <c r="Z40">
        <v>109.7</v>
      </c>
      <c r="AA40">
        <v>111.6</v>
      </c>
      <c r="AB40">
        <v>108.2</v>
      </c>
      <c r="AC40">
        <v>110.6</v>
      </c>
      <c r="AD40">
        <v>113.6</v>
      </c>
      <c r="AE40">
        <f t="shared" si="1"/>
        <v>115.8</v>
      </c>
      <c r="AF40">
        <f t="shared" si="0"/>
        <v>111.6</v>
      </c>
      <c r="AG40">
        <f t="shared" si="2"/>
        <v>111.6</v>
      </c>
      <c r="AH40">
        <f t="shared" si="3"/>
        <v>112.2</v>
      </c>
      <c r="AI40">
        <f t="shared" si="4"/>
        <v>110.3</v>
      </c>
      <c r="AJ40">
        <f t="shared" si="4"/>
        <v>110.7</v>
      </c>
      <c r="AK40">
        <f t="shared" si="5"/>
        <v>111.80000000000001</v>
      </c>
      <c r="AL40">
        <f t="shared" si="6"/>
        <v>109.7</v>
      </c>
      <c r="AM40">
        <f t="shared" si="7"/>
        <v>114.5</v>
      </c>
      <c r="AN40">
        <f t="shared" si="8"/>
        <v>111.44999999999999</v>
      </c>
      <c r="AO40">
        <f t="shared" si="9"/>
        <v>111.965</v>
      </c>
    </row>
    <row r="41" spans="1:41" x14ac:dyDescent="0.45">
      <c r="A41" t="s">
        <v>30</v>
      </c>
      <c r="B41">
        <v>2014</v>
      </c>
      <c r="C41" t="s">
        <v>35</v>
      </c>
      <c r="D41" t="s">
        <v>32</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v>113.2</v>
      </c>
      <c r="W41">
        <v>112.9</v>
      </c>
      <c r="X41">
        <v>110.9</v>
      </c>
      <c r="Y41">
        <v>110.8</v>
      </c>
      <c r="Z41">
        <v>109.9</v>
      </c>
      <c r="AA41">
        <v>112</v>
      </c>
      <c r="AB41">
        <v>108.7</v>
      </c>
      <c r="AC41">
        <v>110.9</v>
      </c>
      <c r="AD41">
        <v>114</v>
      </c>
      <c r="AE41">
        <f t="shared" si="1"/>
        <v>115.3</v>
      </c>
      <c r="AF41" t="str">
        <f t="shared" si="0"/>
        <v>NA</v>
      </c>
      <c r="AG41">
        <f t="shared" si="2"/>
        <v>112</v>
      </c>
      <c r="AH41">
        <f t="shared" si="3"/>
        <v>113.2</v>
      </c>
      <c r="AI41">
        <f t="shared" si="4"/>
        <v>110.9</v>
      </c>
      <c r="AJ41">
        <f t="shared" si="4"/>
        <v>110.8</v>
      </c>
      <c r="AK41">
        <f t="shared" si="5"/>
        <v>112.7</v>
      </c>
      <c r="AL41">
        <f t="shared" si="6"/>
        <v>109.9</v>
      </c>
      <c r="AM41">
        <f t="shared" si="7"/>
        <v>114.2</v>
      </c>
      <c r="AN41">
        <f t="shared" si="8"/>
        <v>111.9</v>
      </c>
      <c r="AO41">
        <f t="shared" si="9"/>
        <v>112.32222222222222</v>
      </c>
    </row>
    <row r="42" spans="1:41" x14ac:dyDescent="0.45">
      <c r="A42" t="s">
        <v>33</v>
      </c>
      <c r="B42">
        <v>2014</v>
      </c>
      <c r="C42" t="s">
        <v>35</v>
      </c>
      <c r="D42">
        <v>112.5</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111.1</v>
      </c>
      <c r="W42">
        <v>112.6</v>
      </c>
      <c r="X42">
        <v>110.4</v>
      </c>
      <c r="Y42">
        <v>111.3</v>
      </c>
      <c r="Z42">
        <v>110.3</v>
      </c>
      <c r="AA42">
        <v>111.6</v>
      </c>
      <c r="AB42">
        <v>108.7</v>
      </c>
      <c r="AC42">
        <v>111</v>
      </c>
      <c r="AD42">
        <v>113.1</v>
      </c>
      <c r="AE42">
        <f t="shared" si="1"/>
        <v>115.2</v>
      </c>
      <c r="AF42">
        <f t="shared" si="0"/>
        <v>112.5</v>
      </c>
      <c r="AG42">
        <f t="shared" si="2"/>
        <v>111.6</v>
      </c>
      <c r="AH42">
        <f t="shared" si="3"/>
        <v>111.1</v>
      </c>
      <c r="AI42">
        <f t="shared" si="4"/>
        <v>110.4</v>
      </c>
      <c r="AJ42">
        <f t="shared" si="4"/>
        <v>111.3</v>
      </c>
      <c r="AK42">
        <f t="shared" si="5"/>
        <v>111.7</v>
      </c>
      <c r="AL42">
        <f t="shared" si="6"/>
        <v>110.3</v>
      </c>
      <c r="AM42">
        <f t="shared" si="7"/>
        <v>116.2</v>
      </c>
      <c r="AN42">
        <f t="shared" si="8"/>
        <v>111.8</v>
      </c>
      <c r="AO42">
        <f t="shared" si="9"/>
        <v>112.21</v>
      </c>
    </row>
    <row r="43" spans="1:41" x14ac:dyDescent="0.45">
      <c r="A43" t="s">
        <v>34</v>
      </c>
      <c r="B43">
        <v>2014</v>
      </c>
      <c r="C43" t="s">
        <v>35</v>
      </c>
      <c r="D43">
        <v>112.5</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112.4</v>
      </c>
      <c r="W43">
        <v>112.8</v>
      </c>
      <c r="X43">
        <v>110.7</v>
      </c>
      <c r="Y43">
        <v>111.1</v>
      </c>
      <c r="Z43">
        <v>110.1</v>
      </c>
      <c r="AA43">
        <v>111.8</v>
      </c>
      <c r="AB43">
        <v>108.7</v>
      </c>
      <c r="AC43">
        <v>110.9</v>
      </c>
      <c r="AD43">
        <v>113.6</v>
      </c>
      <c r="AE43">
        <f t="shared" si="1"/>
        <v>115.3</v>
      </c>
      <c r="AF43">
        <f t="shared" si="0"/>
        <v>112.5</v>
      </c>
      <c r="AG43">
        <f t="shared" si="2"/>
        <v>111.8</v>
      </c>
      <c r="AH43">
        <f t="shared" si="3"/>
        <v>112.4</v>
      </c>
      <c r="AI43">
        <f t="shared" si="4"/>
        <v>110.7</v>
      </c>
      <c r="AJ43">
        <f t="shared" si="4"/>
        <v>111.1</v>
      </c>
      <c r="AK43">
        <f t="shared" si="5"/>
        <v>112.30000000000001</v>
      </c>
      <c r="AL43">
        <f t="shared" si="6"/>
        <v>110.1</v>
      </c>
      <c r="AM43">
        <f t="shared" si="7"/>
        <v>114.7</v>
      </c>
      <c r="AN43">
        <f t="shared" si="8"/>
        <v>111.85</v>
      </c>
      <c r="AO43">
        <f t="shared" si="9"/>
        <v>112.27500000000002</v>
      </c>
    </row>
    <row r="44" spans="1:41" x14ac:dyDescent="0.45">
      <c r="A44" t="s">
        <v>30</v>
      </c>
      <c r="B44">
        <v>2014</v>
      </c>
      <c r="C44" t="s">
        <v>36</v>
      </c>
      <c r="D44" t="s">
        <v>32</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v>113.4</v>
      </c>
      <c r="W44">
        <v>113.4</v>
      </c>
      <c r="X44">
        <v>111.4</v>
      </c>
      <c r="Y44">
        <v>111.2</v>
      </c>
      <c r="Z44">
        <v>110.2</v>
      </c>
      <c r="AA44">
        <v>112.4</v>
      </c>
      <c r="AB44">
        <v>108.9</v>
      </c>
      <c r="AC44">
        <v>111.3</v>
      </c>
      <c r="AD44">
        <v>114.6</v>
      </c>
      <c r="AE44">
        <f t="shared" si="1"/>
        <v>116.2</v>
      </c>
      <c r="AF44" t="str">
        <f t="shared" si="0"/>
        <v>NA</v>
      </c>
      <c r="AG44">
        <f t="shared" si="2"/>
        <v>112.4</v>
      </c>
      <c r="AH44">
        <f t="shared" si="3"/>
        <v>113.4</v>
      </c>
      <c r="AI44">
        <f t="shared" si="4"/>
        <v>111.4</v>
      </c>
      <c r="AJ44">
        <f t="shared" si="4"/>
        <v>111.2</v>
      </c>
      <c r="AK44">
        <f t="shared" si="5"/>
        <v>113.05000000000001</v>
      </c>
      <c r="AL44">
        <f t="shared" si="6"/>
        <v>110.2</v>
      </c>
      <c r="AM44">
        <f t="shared" si="7"/>
        <v>114.6</v>
      </c>
      <c r="AN44">
        <f t="shared" si="8"/>
        <v>112.35</v>
      </c>
      <c r="AO44">
        <f t="shared" si="9"/>
        <v>112.75555555555557</v>
      </c>
    </row>
    <row r="45" spans="1:41" x14ac:dyDescent="0.45">
      <c r="A45" t="s">
        <v>33</v>
      </c>
      <c r="B45">
        <v>2014</v>
      </c>
      <c r="C45" t="s">
        <v>36</v>
      </c>
      <c r="D45">
        <v>113.2</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110.9</v>
      </c>
      <c r="W45">
        <v>113</v>
      </c>
      <c r="X45">
        <v>110.8</v>
      </c>
      <c r="Y45">
        <v>111.6</v>
      </c>
      <c r="Z45">
        <v>110.9</v>
      </c>
      <c r="AA45">
        <v>111.8</v>
      </c>
      <c r="AB45">
        <v>109.2</v>
      </c>
      <c r="AC45">
        <v>111.4</v>
      </c>
      <c r="AD45">
        <v>113.7</v>
      </c>
      <c r="AE45">
        <f t="shared" si="1"/>
        <v>116</v>
      </c>
      <c r="AF45">
        <f t="shared" si="0"/>
        <v>113.2</v>
      </c>
      <c r="AG45">
        <f t="shared" si="2"/>
        <v>111.8</v>
      </c>
      <c r="AH45">
        <f t="shared" si="3"/>
        <v>110.9</v>
      </c>
      <c r="AI45">
        <f t="shared" si="4"/>
        <v>110.8</v>
      </c>
      <c r="AJ45">
        <f t="shared" si="4"/>
        <v>111.6</v>
      </c>
      <c r="AK45">
        <f t="shared" si="5"/>
        <v>112.2</v>
      </c>
      <c r="AL45">
        <f t="shared" si="6"/>
        <v>110.9</v>
      </c>
      <c r="AM45">
        <f t="shared" si="7"/>
        <v>116.7</v>
      </c>
      <c r="AN45">
        <f t="shared" si="8"/>
        <v>112.2</v>
      </c>
      <c r="AO45">
        <f t="shared" si="9"/>
        <v>112.63</v>
      </c>
    </row>
    <row r="46" spans="1:41" x14ac:dyDescent="0.45">
      <c r="A46" t="s">
        <v>34</v>
      </c>
      <c r="B46">
        <v>2014</v>
      </c>
      <c r="C46" t="s">
        <v>36</v>
      </c>
      <c r="D46">
        <v>113.2</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112.5</v>
      </c>
      <c r="W46">
        <v>113.2</v>
      </c>
      <c r="X46">
        <v>111.2</v>
      </c>
      <c r="Y46">
        <v>111.4</v>
      </c>
      <c r="Z46">
        <v>110.6</v>
      </c>
      <c r="AA46">
        <v>112</v>
      </c>
      <c r="AB46">
        <v>109</v>
      </c>
      <c r="AC46">
        <v>111.3</v>
      </c>
      <c r="AD46">
        <v>114.2</v>
      </c>
      <c r="AE46">
        <f t="shared" si="1"/>
        <v>116.1</v>
      </c>
      <c r="AF46">
        <f t="shared" si="0"/>
        <v>113.2</v>
      </c>
      <c r="AG46">
        <f t="shared" si="2"/>
        <v>112</v>
      </c>
      <c r="AH46">
        <f t="shared" si="3"/>
        <v>112.5</v>
      </c>
      <c r="AI46">
        <f t="shared" si="4"/>
        <v>111.2</v>
      </c>
      <c r="AJ46">
        <f t="shared" si="4"/>
        <v>111.4</v>
      </c>
      <c r="AK46">
        <f t="shared" si="5"/>
        <v>112.7</v>
      </c>
      <c r="AL46">
        <f t="shared" si="6"/>
        <v>110.6</v>
      </c>
      <c r="AM46">
        <f t="shared" si="7"/>
        <v>115.2</v>
      </c>
      <c r="AN46">
        <f t="shared" si="8"/>
        <v>112.25</v>
      </c>
      <c r="AO46">
        <f t="shared" si="9"/>
        <v>112.715</v>
      </c>
    </row>
    <row r="47" spans="1:41" x14ac:dyDescent="0.45">
      <c r="A47" t="s">
        <v>30</v>
      </c>
      <c r="B47">
        <v>2014</v>
      </c>
      <c r="C47" t="s">
        <v>37</v>
      </c>
      <c r="D47" t="s">
        <v>32</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v>113.4</v>
      </c>
      <c r="W47">
        <v>113.7</v>
      </c>
      <c r="X47">
        <v>111.8</v>
      </c>
      <c r="Y47">
        <v>111.2</v>
      </c>
      <c r="Z47">
        <v>110.5</v>
      </c>
      <c r="AA47">
        <v>113</v>
      </c>
      <c r="AB47">
        <v>108.9</v>
      </c>
      <c r="AC47">
        <v>111.5</v>
      </c>
      <c r="AD47">
        <v>115.4</v>
      </c>
      <c r="AE47">
        <f t="shared" si="1"/>
        <v>117.2</v>
      </c>
      <c r="AF47" t="str">
        <f t="shared" si="0"/>
        <v>NA</v>
      </c>
      <c r="AG47">
        <f t="shared" si="2"/>
        <v>113</v>
      </c>
      <c r="AH47">
        <f t="shared" si="3"/>
        <v>113.4</v>
      </c>
      <c r="AI47">
        <f t="shared" si="4"/>
        <v>111.8</v>
      </c>
      <c r="AJ47">
        <f t="shared" si="4"/>
        <v>111.2</v>
      </c>
      <c r="AK47">
        <f t="shared" si="5"/>
        <v>113.35</v>
      </c>
      <c r="AL47">
        <f t="shared" si="6"/>
        <v>110.5</v>
      </c>
      <c r="AM47">
        <f t="shared" si="7"/>
        <v>115.4</v>
      </c>
      <c r="AN47">
        <f t="shared" si="8"/>
        <v>112.6</v>
      </c>
      <c r="AO47">
        <f t="shared" si="9"/>
        <v>113.16111111111111</v>
      </c>
    </row>
    <row r="48" spans="1:41" x14ac:dyDescent="0.45">
      <c r="A48" t="s">
        <v>33</v>
      </c>
      <c r="B48">
        <v>2014</v>
      </c>
      <c r="C48" t="s">
        <v>37</v>
      </c>
      <c r="D48">
        <v>113.9</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110.9</v>
      </c>
      <c r="W48">
        <v>113.4</v>
      </c>
      <c r="X48">
        <v>111</v>
      </c>
      <c r="Y48">
        <v>111.2</v>
      </c>
      <c r="Z48">
        <v>111.2</v>
      </c>
      <c r="AA48">
        <v>112.5</v>
      </c>
      <c r="AB48">
        <v>109.1</v>
      </c>
      <c r="AC48">
        <v>111.4</v>
      </c>
      <c r="AD48">
        <v>114.7</v>
      </c>
      <c r="AE48">
        <f t="shared" si="1"/>
        <v>118.2</v>
      </c>
      <c r="AF48">
        <f t="shared" si="0"/>
        <v>113.9</v>
      </c>
      <c r="AG48">
        <f t="shared" si="2"/>
        <v>112.5</v>
      </c>
      <c r="AH48">
        <f t="shared" si="3"/>
        <v>110.9</v>
      </c>
      <c r="AI48">
        <f t="shared" si="4"/>
        <v>111</v>
      </c>
      <c r="AJ48">
        <f t="shared" si="4"/>
        <v>111.2</v>
      </c>
      <c r="AK48">
        <f t="shared" si="5"/>
        <v>112.4</v>
      </c>
      <c r="AL48">
        <f t="shared" si="6"/>
        <v>111.2</v>
      </c>
      <c r="AM48">
        <f t="shared" si="7"/>
        <v>117.6</v>
      </c>
      <c r="AN48">
        <f t="shared" si="8"/>
        <v>112.4</v>
      </c>
      <c r="AO48">
        <f t="shared" si="9"/>
        <v>113.13000000000002</v>
      </c>
    </row>
    <row r="49" spans="1:41" x14ac:dyDescent="0.45">
      <c r="A49" t="s">
        <v>34</v>
      </c>
      <c r="B49">
        <v>2014</v>
      </c>
      <c r="C49" t="s">
        <v>37</v>
      </c>
      <c r="D49">
        <v>113.9</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112.5</v>
      </c>
      <c r="W49">
        <v>113.6</v>
      </c>
      <c r="X49">
        <v>111.5</v>
      </c>
      <c r="Y49">
        <v>111.2</v>
      </c>
      <c r="Z49">
        <v>110.9</v>
      </c>
      <c r="AA49">
        <v>112.7</v>
      </c>
      <c r="AB49">
        <v>109</v>
      </c>
      <c r="AC49">
        <v>111.5</v>
      </c>
      <c r="AD49">
        <v>115.1</v>
      </c>
      <c r="AE49">
        <f t="shared" si="1"/>
        <v>117.6</v>
      </c>
      <c r="AF49">
        <f t="shared" si="0"/>
        <v>113.9</v>
      </c>
      <c r="AG49">
        <f t="shared" si="2"/>
        <v>112.7</v>
      </c>
      <c r="AH49">
        <f t="shared" si="3"/>
        <v>112.5</v>
      </c>
      <c r="AI49">
        <f t="shared" si="4"/>
        <v>111.5</v>
      </c>
      <c r="AJ49">
        <f t="shared" si="4"/>
        <v>111.2</v>
      </c>
      <c r="AK49">
        <f t="shared" si="5"/>
        <v>113</v>
      </c>
      <c r="AL49">
        <f t="shared" si="6"/>
        <v>110.9</v>
      </c>
      <c r="AM49">
        <f t="shared" si="7"/>
        <v>116</v>
      </c>
      <c r="AN49">
        <f t="shared" si="8"/>
        <v>112.55</v>
      </c>
      <c r="AO49">
        <f t="shared" si="9"/>
        <v>113.18500000000002</v>
      </c>
    </row>
    <row r="50" spans="1:41" x14ac:dyDescent="0.45">
      <c r="A50" t="s">
        <v>30</v>
      </c>
      <c r="B50">
        <v>2014</v>
      </c>
      <c r="C50" t="s">
        <v>38</v>
      </c>
      <c r="D50" t="s">
        <v>32</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v>113.4</v>
      </c>
      <c r="W50">
        <v>114.1</v>
      </c>
      <c r="X50">
        <v>112.1</v>
      </c>
      <c r="Y50">
        <v>111.4</v>
      </c>
      <c r="Z50">
        <v>110.9</v>
      </c>
      <c r="AA50">
        <v>113.1</v>
      </c>
      <c r="AB50">
        <v>108.9</v>
      </c>
      <c r="AC50">
        <v>111.8</v>
      </c>
      <c r="AD50">
        <v>116</v>
      </c>
      <c r="AE50">
        <f t="shared" si="1"/>
        <v>118.2</v>
      </c>
      <c r="AF50" t="str">
        <f t="shared" si="0"/>
        <v>NA</v>
      </c>
      <c r="AG50">
        <f t="shared" si="2"/>
        <v>113.1</v>
      </c>
      <c r="AH50">
        <f t="shared" si="3"/>
        <v>113.4</v>
      </c>
      <c r="AI50">
        <f t="shared" si="4"/>
        <v>112.1</v>
      </c>
      <c r="AJ50">
        <f t="shared" si="4"/>
        <v>111.4</v>
      </c>
      <c r="AK50">
        <f t="shared" si="5"/>
        <v>113.7</v>
      </c>
      <c r="AL50">
        <f t="shared" si="6"/>
        <v>110.9</v>
      </c>
      <c r="AM50">
        <f t="shared" si="7"/>
        <v>116.3</v>
      </c>
      <c r="AN50">
        <f t="shared" si="8"/>
        <v>112.94999999999999</v>
      </c>
      <c r="AO50">
        <f t="shared" si="9"/>
        <v>113.5611111111111</v>
      </c>
    </row>
    <row r="51" spans="1:41" x14ac:dyDescent="0.45">
      <c r="A51" t="s">
        <v>33</v>
      </c>
      <c r="B51">
        <v>2014</v>
      </c>
      <c r="C51" t="s">
        <v>38</v>
      </c>
      <c r="D51">
        <v>114.3</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111.1</v>
      </c>
      <c r="W51">
        <v>114.1</v>
      </c>
      <c r="X51">
        <v>111.2</v>
      </c>
      <c r="Y51">
        <v>111.3</v>
      </c>
      <c r="Z51">
        <v>111.5</v>
      </c>
      <c r="AA51">
        <v>112.9</v>
      </c>
      <c r="AB51">
        <v>109.3</v>
      </c>
      <c r="AC51">
        <v>111.7</v>
      </c>
      <c r="AD51">
        <v>115.6</v>
      </c>
      <c r="AE51">
        <f t="shared" si="1"/>
        <v>120</v>
      </c>
      <c r="AF51">
        <f t="shared" si="0"/>
        <v>114.3</v>
      </c>
      <c r="AG51">
        <f t="shared" si="2"/>
        <v>112.9</v>
      </c>
      <c r="AH51">
        <f t="shared" si="3"/>
        <v>111.1</v>
      </c>
      <c r="AI51">
        <f t="shared" si="4"/>
        <v>111.2</v>
      </c>
      <c r="AJ51">
        <f t="shared" si="4"/>
        <v>111.3</v>
      </c>
      <c r="AK51">
        <f t="shared" si="5"/>
        <v>112.75</v>
      </c>
      <c r="AL51">
        <f t="shared" si="6"/>
        <v>111.5</v>
      </c>
      <c r="AM51">
        <f t="shared" si="7"/>
        <v>118.3</v>
      </c>
      <c r="AN51">
        <f t="shared" si="8"/>
        <v>112.9</v>
      </c>
      <c r="AO51">
        <f t="shared" si="9"/>
        <v>113.625</v>
      </c>
    </row>
    <row r="52" spans="1:41" x14ac:dyDescent="0.45">
      <c r="A52" t="s">
        <v>34</v>
      </c>
      <c r="B52">
        <v>2014</v>
      </c>
      <c r="C52" t="s">
        <v>38</v>
      </c>
      <c r="D52">
        <v>114.3</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112.5</v>
      </c>
      <c r="W52">
        <v>114.1</v>
      </c>
      <c r="X52">
        <v>111.8</v>
      </c>
      <c r="Y52">
        <v>111.3</v>
      </c>
      <c r="Z52">
        <v>111.2</v>
      </c>
      <c r="AA52">
        <v>113</v>
      </c>
      <c r="AB52">
        <v>109.1</v>
      </c>
      <c r="AC52">
        <v>111.8</v>
      </c>
      <c r="AD52">
        <v>115.8</v>
      </c>
      <c r="AE52">
        <f t="shared" si="1"/>
        <v>118.9</v>
      </c>
      <c r="AF52">
        <f t="shared" si="0"/>
        <v>114.3</v>
      </c>
      <c r="AG52">
        <f t="shared" si="2"/>
        <v>113</v>
      </c>
      <c r="AH52">
        <f t="shared" si="3"/>
        <v>112.5</v>
      </c>
      <c r="AI52">
        <f t="shared" si="4"/>
        <v>111.8</v>
      </c>
      <c r="AJ52">
        <f t="shared" si="4"/>
        <v>111.3</v>
      </c>
      <c r="AK52">
        <f t="shared" si="5"/>
        <v>113.35</v>
      </c>
      <c r="AL52">
        <f t="shared" si="6"/>
        <v>111.2</v>
      </c>
      <c r="AM52">
        <f t="shared" si="7"/>
        <v>116.8</v>
      </c>
      <c r="AN52">
        <f t="shared" si="8"/>
        <v>112.94999999999999</v>
      </c>
      <c r="AO52">
        <f t="shared" si="9"/>
        <v>113.60999999999999</v>
      </c>
    </row>
    <row r="53" spans="1:41" x14ac:dyDescent="0.45">
      <c r="A53" t="s">
        <v>30</v>
      </c>
      <c r="B53">
        <v>2014</v>
      </c>
      <c r="C53" t="s">
        <v>39</v>
      </c>
      <c r="D53" t="s">
        <v>32</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v>114.4</v>
      </c>
      <c r="W53">
        <v>114.9</v>
      </c>
      <c r="X53">
        <v>112.8</v>
      </c>
      <c r="Y53">
        <v>112.2</v>
      </c>
      <c r="Z53">
        <v>111.4</v>
      </c>
      <c r="AA53">
        <v>114.3</v>
      </c>
      <c r="AB53">
        <v>108</v>
      </c>
      <c r="AC53">
        <v>112.3</v>
      </c>
      <c r="AD53">
        <v>117</v>
      </c>
      <c r="AE53">
        <f t="shared" si="1"/>
        <v>119.5</v>
      </c>
      <c r="AF53" t="str">
        <f t="shared" si="0"/>
        <v>NA</v>
      </c>
      <c r="AG53">
        <f t="shared" si="2"/>
        <v>114.3</v>
      </c>
      <c r="AH53">
        <f t="shared" si="3"/>
        <v>114.4</v>
      </c>
      <c r="AI53">
        <f t="shared" si="4"/>
        <v>112.8</v>
      </c>
      <c r="AJ53">
        <f t="shared" si="4"/>
        <v>112.2</v>
      </c>
      <c r="AK53">
        <f t="shared" si="5"/>
        <v>113.65</v>
      </c>
      <c r="AL53">
        <f t="shared" si="6"/>
        <v>111.4</v>
      </c>
      <c r="AM53">
        <f t="shared" si="7"/>
        <v>117.3</v>
      </c>
      <c r="AN53">
        <f t="shared" si="8"/>
        <v>113.6</v>
      </c>
      <c r="AO53">
        <f t="shared" si="9"/>
        <v>114.34999999999998</v>
      </c>
    </row>
    <row r="54" spans="1:41" x14ac:dyDescent="0.45">
      <c r="A54" t="s">
        <v>33</v>
      </c>
      <c r="B54">
        <v>2014</v>
      </c>
      <c r="C54" t="s">
        <v>39</v>
      </c>
      <c r="D54">
        <v>113.9</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111.2</v>
      </c>
      <c r="W54">
        <v>114.3</v>
      </c>
      <c r="X54">
        <v>111.4</v>
      </c>
      <c r="Y54">
        <v>111.5</v>
      </c>
      <c r="Z54">
        <v>111.8</v>
      </c>
      <c r="AA54">
        <v>115.1</v>
      </c>
      <c r="AB54">
        <v>108.7</v>
      </c>
      <c r="AC54">
        <v>112.2</v>
      </c>
      <c r="AD54">
        <v>116.4</v>
      </c>
      <c r="AE54">
        <f t="shared" si="1"/>
        <v>122</v>
      </c>
      <c r="AF54">
        <f t="shared" si="0"/>
        <v>113.9</v>
      </c>
      <c r="AG54">
        <f t="shared" si="2"/>
        <v>115.1</v>
      </c>
      <c r="AH54">
        <f t="shared" si="3"/>
        <v>111.2</v>
      </c>
      <c r="AI54">
        <f t="shared" si="4"/>
        <v>111.4</v>
      </c>
      <c r="AJ54">
        <f t="shared" si="4"/>
        <v>111.5</v>
      </c>
      <c r="AK54">
        <f t="shared" si="5"/>
        <v>112.7</v>
      </c>
      <c r="AL54">
        <f t="shared" si="6"/>
        <v>111.8</v>
      </c>
      <c r="AM54">
        <f t="shared" si="7"/>
        <v>119</v>
      </c>
      <c r="AN54">
        <f t="shared" si="8"/>
        <v>113.25</v>
      </c>
      <c r="AO54">
        <f t="shared" si="9"/>
        <v>114.18499999999999</v>
      </c>
    </row>
    <row r="55" spans="1:41" x14ac:dyDescent="0.45">
      <c r="A55" t="s">
        <v>34</v>
      </c>
      <c r="B55">
        <v>2014</v>
      </c>
      <c r="C55" t="s">
        <v>39</v>
      </c>
      <c r="D55">
        <v>113.9</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113.2</v>
      </c>
      <c r="W55">
        <v>114.6</v>
      </c>
      <c r="X55">
        <v>112.3</v>
      </c>
      <c r="Y55">
        <v>111.8</v>
      </c>
      <c r="Z55">
        <v>111.6</v>
      </c>
      <c r="AA55">
        <v>114.8</v>
      </c>
      <c r="AB55">
        <v>108.3</v>
      </c>
      <c r="AC55">
        <v>112.3</v>
      </c>
      <c r="AD55">
        <v>116.7</v>
      </c>
      <c r="AE55">
        <f t="shared" si="1"/>
        <v>120.4</v>
      </c>
      <c r="AF55">
        <f t="shared" si="0"/>
        <v>113.9</v>
      </c>
      <c r="AG55">
        <f t="shared" si="2"/>
        <v>114.8</v>
      </c>
      <c r="AH55">
        <f t="shared" si="3"/>
        <v>113.2</v>
      </c>
      <c r="AI55">
        <f t="shared" si="4"/>
        <v>112.3</v>
      </c>
      <c r="AJ55">
        <f t="shared" si="4"/>
        <v>111.8</v>
      </c>
      <c r="AK55">
        <f t="shared" si="5"/>
        <v>113.3</v>
      </c>
      <c r="AL55">
        <f t="shared" si="6"/>
        <v>111.6</v>
      </c>
      <c r="AM55">
        <f t="shared" si="7"/>
        <v>117.8</v>
      </c>
      <c r="AN55">
        <f t="shared" si="8"/>
        <v>113.44999999999999</v>
      </c>
      <c r="AO55">
        <f t="shared" si="9"/>
        <v>114.255</v>
      </c>
    </row>
    <row r="56" spans="1:41" x14ac:dyDescent="0.45">
      <c r="A56" t="s">
        <v>30</v>
      </c>
      <c r="B56">
        <v>2014</v>
      </c>
      <c r="C56" t="s">
        <v>40</v>
      </c>
      <c r="D56" t="s">
        <v>32</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v>115.3</v>
      </c>
      <c r="W56">
        <v>115.4</v>
      </c>
      <c r="X56">
        <v>113.4</v>
      </c>
      <c r="Y56">
        <v>113.2</v>
      </c>
      <c r="Z56">
        <v>111.8</v>
      </c>
      <c r="AA56">
        <v>115.5</v>
      </c>
      <c r="AB56">
        <v>108.8</v>
      </c>
      <c r="AC56">
        <v>113.1</v>
      </c>
      <c r="AD56">
        <v>119.5</v>
      </c>
      <c r="AE56">
        <f t="shared" si="1"/>
        <v>123.3</v>
      </c>
      <c r="AF56" t="str">
        <f t="shared" si="0"/>
        <v>NA</v>
      </c>
      <c r="AG56">
        <f t="shared" si="2"/>
        <v>115.5</v>
      </c>
      <c r="AH56">
        <f t="shared" si="3"/>
        <v>115.3</v>
      </c>
      <c r="AI56">
        <f t="shared" si="4"/>
        <v>113.4</v>
      </c>
      <c r="AJ56">
        <f t="shared" si="4"/>
        <v>113.2</v>
      </c>
      <c r="AK56">
        <f t="shared" si="5"/>
        <v>114.55</v>
      </c>
      <c r="AL56">
        <f t="shared" si="6"/>
        <v>111.8</v>
      </c>
      <c r="AM56">
        <f t="shared" si="7"/>
        <v>118</v>
      </c>
      <c r="AN56">
        <f t="shared" si="8"/>
        <v>114.25</v>
      </c>
      <c r="AO56">
        <f t="shared" si="9"/>
        <v>115.47777777777777</v>
      </c>
    </row>
    <row r="57" spans="1:41" x14ac:dyDescent="0.45">
      <c r="A57" t="s">
        <v>33</v>
      </c>
      <c r="B57">
        <v>2014</v>
      </c>
      <c r="C57" t="s">
        <v>40</v>
      </c>
      <c r="D57">
        <v>114.8</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111.6</v>
      </c>
      <c r="W57">
        <v>114.9</v>
      </c>
      <c r="X57">
        <v>111.5</v>
      </c>
      <c r="Y57">
        <v>113</v>
      </c>
      <c r="Z57">
        <v>112.4</v>
      </c>
      <c r="AA57">
        <v>117.8</v>
      </c>
      <c r="AB57">
        <v>109.7</v>
      </c>
      <c r="AC57">
        <v>113.5</v>
      </c>
      <c r="AD57">
        <v>118.9</v>
      </c>
      <c r="AE57">
        <f t="shared" si="1"/>
        <v>127.1</v>
      </c>
      <c r="AF57">
        <f t="shared" si="0"/>
        <v>114.8</v>
      </c>
      <c r="AG57">
        <f t="shared" si="2"/>
        <v>117.8</v>
      </c>
      <c r="AH57">
        <f t="shared" si="3"/>
        <v>111.6</v>
      </c>
      <c r="AI57">
        <f t="shared" si="4"/>
        <v>111.5</v>
      </c>
      <c r="AJ57">
        <f t="shared" si="4"/>
        <v>113</v>
      </c>
      <c r="AK57">
        <f t="shared" si="5"/>
        <v>113.55000000000001</v>
      </c>
      <c r="AL57">
        <f t="shared" si="6"/>
        <v>112.4</v>
      </c>
      <c r="AM57">
        <f t="shared" si="7"/>
        <v>121</v>
      </c>
      <c r="AN57">
        <f t="shared" si="8"/>
        <v>114.2</v>
      </c>
      <c r="AO57">
        <f t="shared" si="9"/>
        <v>115.69500000000001</v>
      </c>
    </row>
    <row r="58" spans="1:41" x14ac:dyDescent="0.45">
      <c r="A58" t="s">
        <v>34</v>
      </c>
      <c r="B58">
        <v>2014</v>
      </c>
      <c r="C58" t="s">
        <v>40</v>
      </c>
      <c r="D58">
        <v>114.8</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113.9</v>
      </c>
      <c r="W58">
        <v>115.2</v>
      </c>
      <c r="X58">
        <v>112.7</v>
      </c>
      <c r="Y58">
        <v>113.1</v>
      </c>
      <c r="Z58">
        <v>112.1</v>
      </c>
      <c r="AA58">
        <v>116.8</v>
      </c>
      <c r="AB58">
        <v>109.2</v>
      </c>
      <c r="AC58">
        <v>113.3</v>
      </c>
      <c r="AD58">
        <v>119.2</v>
      </c>
      <c r="AE58">
        <f t="shared" si="1"/>
        <v>124.7</v>
      </c>
      <c r="AF58">
        <f t="shared" si="0"/>
        <v>114.8</v>
      </c>
      <c r="AG58">
        <f t="shared" si="2"/>
        <v>116.8</v>
      </c>
      <c r="AH58">
        <f t="shared" si="3"/>
        <v>113.9</v>
      </c>
      <c r="AI58">
        <f t="shared" si="4"/>
        <v>112.7</v>
      </c>
      <c r="AJ58">
        <f t="shared" si="4"/>
        <v>113.1</v>
      </c>
      <c r="AK58">
        <f t="shared" si="5"/>
        <v>114.15</v>
      </c>
      <c r="AL58">
        <f t="shared" si="6"/>
        <v>112.1</v>
      </c>
      <c r="AM58">
        <f t="shared" si="7"/>
        <v>118.8</v>
      </c>
      <c r="AN58">
        <f t="shared" si="8"/>
        <v>114.25</v>
      </c>
      <c r="AO58">
        <f t="shared" si="9"/>
        <v>115.53000000000002</v>
      </c>
    </row>
    <row r="59" spans="1:41" x14ac:dyDescent="0.45">
      <c r="A59" t="s">
        <v>30</v>
      </c>
      <c r="B59">
        <v>2014</v>
      </c>
      <c r="C59" t="s">
        <v>41</v>
      </c>
      <c r="D59" t="s">
        <v>32</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v>115.4</v>
      </c>
      <c r="W59">
        <v>115.9</v>
      </c>
      <c r="X59">
        <v>114</v>
      </c>
      <c r="Y59">
        <v>113.2</v>
      </c>
      <c r="Z59">
        <v>112.2</v>
      </c>
      <c r="AA59">
        <v>116.2</v>
      </c>
      <c r="AB59">
        <v>109.4</v>
      </c>
      <c r="AC59">
        <v>113.5</v>
      </c>
      <c r="AD59">
        <v>120.7</v>
      </c>
      <c r="AE59">
        <f t="shared" si="1"/>
        <v>125.3</v>
      </c>
      <c r="AF59" t="str">
        <f t="shared" si="0"/>
        <v>NA</v>
      </c>
      <c r="AG59">
        <f t="shared" si="2"/>
        <v>116.2</v>
      </c>
      <c r="AH59">
        <f t="shared" si="3"/>
        <v>115.4</v>
      </c>
      <c r="AI59">
        <f t="shared" si="4"/>
        <v>114</v>
      </c>
      <c r="AJ59">
        <f t="shared" si="4"/>
        <v>113.2</v>
      </c>
      <c r="AK59">
        <f t="shared" si="5"/>
        <v>115.05000000000001</v>
      </c>
      <c r="AL59">
        <f t="shared" si="6"/>
        <v>112.2</v>
      </c>
      <c r="AM59">
        <f t="shared" si="7"/>
        <v>118.8</v>
      </c>
      <c r="AN59">
        <f t="shared" si="8"/>
        <v>114.7</v>
      </c>
      <c r="AO59">
        <f t="shared" si="9"/>
        <v>116.09444444444446</v>
      </c>
    </row>
    <row r="60" spans="1:41" x14ac:dyDescent="0.45">
      <c r="A60" t="s">
        <v>33</v>
      </c>
      <c r="B60">
        <v>2014</v>
      </c>
      <c r="C60" t="s">
        <v>41</v>
      </c>
      <c r="D60">
        <v>115.5</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111.8</v>
      </c>
      <c r="W60">
        <v>115.3</v>
      </c>
      <c r="X60">
        <v>112.2</v>
      </c>
      <c r="Y60">
        <v>112.5</v>
      </c>
      <c r="Z60">
        <v>112.9</v>
      </c>
      <c r="AA60">
        <v>119.2</v>
      </c>
      <c r="AB60">
        <v>110.5</v>
      </c>
      <c r="AC60">
        <v>113.9</v>
      </c>
      <c r="AD60">
        <v>119.9</v>
      </c>
      <c r="AE60">
        <f t="shared" si="1"/>
        <v>128.9</v>
      </c>
      <c r="AF60">
        <f t="shared" si="0"/>
        <v>115.5</v>
      </c>
      <c r="AG60">
        <f t="shared" si="2"/>
        <v>119.2</v>
      </c>
      <c r="AH60">
        <f t="shared" si="3"/>
        <v>111.8</v>
      </c>
      <c r="AI60">
        <f t="shared" si="4"/>
        <v>112.2</v>
      </c>
      <c r="AJ60">
        <f t="shared" si="4"/>
        <v>112.5</v>
      </c>
      <c r="AK60">
        <f t="shared" si="5"/>
        <v>114.2</v>
      </c>
      <c r="AL60">
        <f t="shared" si="6"/>
        <v>112.9</v>
      </c>
      <c r="AM60">
        <f t="shared" si="7"/>
        <v>123</v>
      </c>
      <c r="AN60">
        <f t="shared" si="8"/>
        <v>114.6</v>
      </c>
      <c r="AO60">
        <f t="shared" si="9"/>
        <v>116.47999999999999</v>
      </c>
    </row>
    <row r="61" spans="1:41" x14ac:dyDescent="0.45">
      <c r="A61" t="s">
        <v>34</v>
      </c>
      <c r="B61">
        <v>2014</v>
      </c>
      <c r="C61" t="s">
        <v>41</v>
      </c>
      <c r="D61">
        <v>115.5</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114</v>
      </c>
      <c r="W61">
        <v>115.6</v>
      </c>
      <c r="X61">
        <v>113.3</v>
      </c>
      <c r="Y61">
        <v>112.8</v>
      </c>
      <c r="Z61">
        <v>112.6</v>
      </c>
      <c r="AA61">
        <v>118</v>
      </c>
      <c r="AB61">
        <v>109.9</v>
      </c>
      <c r="AC61">
        <v>113.7</v>
      </c>
      <c r="AD61">
        <v>120.3</v>
      </c>
      <c r="AE61">
        <f t="shared" si="1"/>
        <v>126.6</v>
      </c>
      <c r="AF61">
        <f t="shared" si="0"/>
        <v>115.5</v>
      </c>
      <c r="AG61">
        <f t="shared" si="2"/>
        <v>118</v>
      </c>
      <c r="AH61">
        <f t="shared" si="3"/>
        <v>114</v>
      </c>
      <c r="AI61">
        <f t="shared" si="4"/>
        <v>113.3</v>
      </c>
      <c r="AJ61">
        <f t="shared" si="4"/>
        <v>112.8</v>
      </c>
      <c r="AK61">
        <f t="shared" si="5"/>
        <v>114.75</v>
      </c>
      <c r="AL61">
        <f t="shared" si="6"/>
        <v>112.6</v>
      </c>
      <c r="AM61">
        <f t="shared" si="7"/>
        <v>119.9</v>
      </c>
      <c r="AN61">
        <f t="shared" si="8"/>
        <v>114.65</v>
      </c>
      <c r="AO61">
        <f t="shared" si="9"/>
        <v>116.21000000000001</v>
      </c>
    </row>
    <row r="62" spans="1:41" x14ac:dyDescent="0.45">
      <c r="A62" t="s">
        <v>30</v>
      </c>
      <c r="B62">
        <v>2014</v>
      </c>
      <c r="C62" t="s">
        <v>42</v>
      </c>
      <c r="D62" t="s">
        <v>32</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v>115.8</v>
      </c>
      <c r="W62">
        <v>116.7</v>
      </c>
      <c r="X62">
        <v>114.5</v>
      </c>
      <c r="Y62">
        <v>112.8</v>
      </c>
      <c r="Z62">
        <v>112.6</v>
      </c>
      <c r="AA62">
        <v>116.6</v>
      </c>
      <c r="AB62">
        <v>109.1</v>
      </c>
      <c r="AC62">
        <v>113.7</v>
      </c>
      <c r="AD62">
        <v>120.9</v>
      </c>
      <c r="AE62">
        <f t="shared" si="1"/>
        <v>125.3</v>
      </c>
      <c r="AF62" t="str">
        <f t="shared" si="0"/>
        <v>NA</v>
      </c>
      <c r="AG62">
        <f t="shared" si="2"/>
        <v>116.6</v>
      </c>
      <c r="AH62">
        <f t="shared" si="3"/>
        <v>115.8</v>
      </c>
      <c r="AI62">
        <f t="shared" si="4"/>
        <v>114.5</v>
      </c>
      <c r="AJ62">
        <f t="shared" si="4"/>
        <v>112.8</v>
      </c>
      <c r="AK62">
        <f t="shared" si="5"/>
        <v>115.19999999999999</v>
      </c>
      <c r="AL62">
        <f t="shared" si="6"/>
        <v>112.6</v>
      </c>
      <c r="AM62">
        <f t="shared" si="7"/>
        <v>119.5</v>
      </c>
      <c r="AN62">
        <f t="shared" si="8"/>
        <v>115.2</v>
      </c>
      <c r="AO62">
        <f t="shared" si="9"/>
        <v>116.38888888888889</v>
      </c>
    </row>
    <row r="63" spans="1:41" x14ac:dyDescent="0.45">
      <c r="A63" t="s">
        <v>33</v>
      </c>
      <c r="B63">
        <v>2014</v>
      </c>
      <c r="C63" t="s">
        <v>42</v>
      </c>
      <c r="D63">
        <v>116.1</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111.8</v>
      </c>
      <c r="W63">
        <v>115.5</v>
      </c>
      <c r="X63">
        <v>112.3</v>
      </c>
      <c r="Y63">
        <v>111.2</v>
      </c>
      <c r="Z63">
        <v>113.4</v>
      </c>
      <c r="AA63">
        <v>120</v>
      </c>
      <c r="AB63">
        <v>110</v>
      </c>
      <c r="AC63">
        <v>113.6</v>
      </c>
      <c r="AD63">
        <v>119.2</v>
      </c>
      <c r="AE63">
        <f t="shared" si="1"/>
        <v>126.7</v>
      </c>
      <c r="AF63">
        <f t="shared" si="0"/>
        <v>116.1</v>
      </c>
      <c r="AG63">
        <f t="shared" si="2"/>
        <v>120</v>
      </c>
      <c r="AH63">
        <f t="shared" si="3"/>
        <v>111.8</v>
      </c>
      <c r="AI63">
        <f t="shared" si="4"/>
        <v>112.3</v>
      </c>
      <c r="AJ63">
        <f t="shared" si="4"/>
        <v>111.2</v>
      </c>
      <c r="AK63">
        <f t="shared" si="5"/>
        <v>114.2</v>
      </c>
      <c r="AL63">
        <f t="shared" si="6"/>
        <v>113.4</v>
      </c>
      <c r="AM63">
        <f t="shared" si="7"/>
        <v>124.3</v>
      </c>
      <c r="AN63">
        <f t="shared" si="8"/>
        <v>114.55</v>
      </c>
      <c r="AO63">
        <f t="shared" si="9"/>
        <v>116.455</v>
      </c>
    </row>
    <row r="64" spans="1:41" x14ac:dyDescent="0.45">
      <c r="A64" t="s">
        <v>34</v>
      </c>
      <c r="B64">
        <v>2014</v>
      </c>
      <c r="C64" t="s">
        <v>42</v>
      </c>
      <c r="D64">
        <v>116.1</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114.3</v>
      </c>
      <c r="W64">
        <v>116.1</v>
      </c>
      <c r="X64">
        <v>113.7</v>
      </c>
      <c r="Y64">
        <v>112</v>
      </c>
      <c r="Z64">
        <v>113.1</v>
      </c>
      <c r="AA64">
        <v>118.6</v>
      </c>
      <c r="AB64">
        <v>109.5</v>
      </c>
      <c r="AC64">
        <v>113.7</v>
      </c>
      <c r="AD64">
        <v>120.1</v>
      </c>
      <c r="AE64">
        <f t="shared" si="1"/>
        <v>125.8</v>
      </c>
      <c r="AF64">
        <f t="shared" si="0"/>
        <v>116.1</v>
      </c>
      <c r="AG64">
        <f t="shared" si="2"/>
        <v>118.6</v>
      </c>
      <c r="AH64">
        <f t="shared" si="3"/>
        <v>114.3</v>
      </c>
      <c r="AI64">
        <f t="shared" si="4"/>
        <v>113.7</v>
      </c>
      <c r="AJ64">
        <f t="shared" si="4"/>
        <v>112</v>
      </c>
      <c r="AK64">
        <f t="shared" si="5"/>
        <v>114.8</v>
      </c>
      <c r="AL64">
        <f t="shared" si="6"/>
        <v>113.1</v>
      </c>
      <c r="AM64">
        <f t="shared" si="7"/>
        <v>120.8</v>
      </c>
      <c r="AN64">
        <f t="shared" si="8"/>
        <v>114.9</v>
      </c>
      <c r="AO64">
        <f t="shared" si="9"/>
        <v>116.41000000000001</v>
      </c>
    </row>
    <row r="65" spans="1:41" x14ac:dyDescent="0.45">
      <c r="A65" t="s">
        <v>30</v>
      </c>
      <c r="B65">
        <v>2014</v>
      </c>
      <c r="C65" t="s">
        <v>43</v>
      </c>
      <c r="D65" t="s">
        <v>32</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v>116.4</v>
      </c>
      <c r="W65">
        <v>117.5</v>
      </c>
      <c r="X65">
        <v>115.3</v>
      </c>
      <c r="Y65">
        <v>112.6</v>
      </c>
      <c r="Z65">
        <v>113</v>
      </c>
      <c r="AA65">
        <v>116.9</v>
      </c>
      <c r="AB65">
        <v>109.3</v>
      </c>
      <c r="AC65">
        <v>114</v>
      </c>
      <c r="AD65">
        <v>121</v>
      </c>
      <c r="AE65">
        <f t="shared" si="1"/>
        <v>125.1</v>
      </c>
      <c r="AF65" t="str">
        <f t="shared" si="0"/>
        <v>NA</v>
      </c>
      <c r="AG65">
        <f t="shared" si="2"/>
        <v>116.9</v>
      </c>
      <c r="AH65">
        <f t="shared" si="3"/>
        <v>116.4</v>
      </c>
      <c r="AI65">
        <f t="shared" si="4"/>
        <v>115.3</v>
      </c>
      <c r="AJ65">
        <f t="shared" si="4"/>
        <v>112.6</v>
      </c>
      <c r="AK65">
        <f t="shared" si="5"/>
        <v>115.8</v>
      </c>
      <c r="AL65">
        <f t="shared" si="6"/>
        <v>113</v>
      </c>
      <c r="AM65">
        <f t="shared" si="7"/>
        <v>120</v>
      </c>
      <c r="AN65">
        <f t="shared" si="8"/>
        <v>115.75</v>
      </c>
      <c r="AO65">
        <f t="shared" si="9"/>
        <v>116.76111111111111</v>
      </c>
    </row>
    <row r="66" spans="1:41" x14ac:dyDescent="0.45">
      <c r="A66" t="s">
        <v>33</v>
      </c>
      <c r="B66">
        <v>2014</v>
      </c>
      <c r="C66" t="s">
        <v>43</v>
      </c>
      <c r="D66">
        <v>116.7</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112</v>
      </c>
      <c r="W66">
        <v>115.8</v>
      </c>
      <c r="X66">
        <v>112.6</v>
      </c>
      <c r="Y66">
        <v>111</v>
      </c>
      <c r="Z66">
        <v>113.6</v>
      </c>
      <c r="AA66">
        <v>120.2</v>
      </c>
      <c r="AB66">
        <v>110.1</v>
      </c>
      <c r="AC66">
        <v>113.7</v>
      </c>
      <c r="AD66">
        <v>119.1</v>
      </c>
      <c r="AE66">
        <f t="shared" si="1"/>
        <v>125.8</v>
      </c>
      <c r="AF66">
        <f t="shared" ref="AF66:AF129" si="10">D66</f>
        <v>116.7</v>
      </c>
      <c r="AG66">
        <f t="shared" si="2"/>
        <v>120.2</v>
      </c>
      <c r="AH66">
        <f t="shared" si="3"/>
        <v>112</v>
      </c>
      <c r="AI66">
        <f t="shared" si="4"/>
        <v>112.6</v>
      </c>
      <c r="AJ66">
        <f t="shared" si="4"/>
        <v>111</v>
      </c>
      <c r="AK66">
        <f t="shared" si="5"/>
        <v>114.5</v>
      </c>
      <c r="AL66">
        <f t="shared" si="6"/>
        <v>113.6</v>
      </c>
      <c r="AM66">
        <f t="shared" si="7"/>
        <v>124.3</v>
      </c>
      <c r="AN66">
        <f t="shared" si="8"/>
        <v>114.75</v>
      </c>
      <c r="AO66">
        <f t="shared" si="9"/>
        <v>116.545</v>
      </c>
    </row>
    <row r="67" spans="1:41" x14ac:dyDescent="0.45">
      <c r="A67" t="s">
        <v>34</v>
      </c>
      <c r="B67">
        <v>2014</v>
      </c>
      <c r="C67" t="s">
        <v>43</v>
      </c>
      <c r="D67">
        <v>116.7</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114.7</v>
      </c>
      <c r="W67">
        <v>116.7</v>
      </c>
      <c r="X67">
        <v>114.3</v>
      </c>
      <c r="Y67">
        <v>111.8</v>
      </c>
      <c r="Z67">
        <v>113.3</v>
      </c>
      <c r="AA67">
        <v>118.8</v>
      </c>
      <c r="AB67">
        <v>109.6</v>
      </c>
      <c r="AC67">
        <v>113.9</v>
      </c>
      <c r="AD67">
        <v>120.1</v>
      </c>
      <c r="AE67">
        <f t="shared" ref="AE67:AE130" si="11">Q67</f>
        <v>125.4</v>
      </c>
      <c r="AF67">
        <f t="shared" si="10"/>
        <v>116.7</v>
      </c>
      <c r="AG67">
        <f t="shared" ref="AG67:AG130" si="12">AA67</f>
        <v>118.8</v>
      </c>
      <c r="AH67">
        <f t="shared" ref="AH67:AH130" si="13">V67</f>
        <v>114.7</v>
      </c>
      <c r="AI67">
        <f t="shared" ref="AI67:AJ130" si="14">X67</f>
        <v>114.3</v>
      </c>
      <c r="AJ67">
        <f t="shared" si="14"/>
        <v>111.8</v>
      </c>
      <c r="AK67">
        <f t="shared" ref="AK67:AK130" si="15">AVERAGE(U67,AB67)</f>
        <v>115.3</v>
      </c>
      <c r="AL67">
        <f t="shared" ref="AL67:AL130" si="16">Z67</f>
        <v>113.3</v>
      </c>
      <c r="AM67">
        <f t="shared" ref="AM67:AM130" si="17">R67</f>
        <v>121.1</v>
      </c>
      <c r="AN67">
        <f t="shared" ref="AN67:AN130" si="18">AVERAGE(W67,AC67)</f>
        <v>115.30000000000001</v>
      </c>
      <c r="AO67">
        <f t="shared" ref="AO67:AO130" si="19">AVERAGE(AE67:AN67)</f>
        <v>116.66999999999999</v>
      </c>
    </row>
    <row r="68" spans="1:41" x14ac:dyDescent="0.45">
      <c r="A68" t="s">
        <v>30</v>
      </c>
      <c r="B68">
        <v>2014</v>
      </c>
      <c r="C68" t="s">
        <v>45</v>
      </c>
      <c r="D68" t="s">
        <v>32</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v>117.3</v>
      </c>
      <c r="W68">
        <v>118.1</v>
      </c>
      <c r="X68">
        <v>115.9</v>
      </c>
      <c r="Y68">
        <v>112</v>
      </c>
      <c r="Z68">
        <v>113.3</v>
      </c>
      <c r="AA68">
        <v>117.2</v>
      </c>
      <c r="AB68">
        <v>108.8</v>
      </c>
      <c r="AC68">
        <v>114.1</v>
      </c>
      <c r="AD68">
        <v>121.1</v>
      </c>
      <c r="AE68">
        <f t="shared" si="11"/>
        <v>124.9</v>
      </c>
      <c r="AF68" t="str">
        <f t="shared" si="10"/>
        <v>NA</v>
      </c>
      <c r="AG68">
        <f t="shared" si="12"/>
        <v>117.2</v>
      </c>
      <c r="AH68">
        <f t="shared" si="13"/>
        <v>117.3</v>
      </c>
      <c r="AI68">
        <f t="shared" si="14"/>
        <v>115.9</v>
      </c>
      <c r="AJ68">
        <f t="shared" si="14"/>
        <v>112</v>
      </c>
      <c r="AK68">
        <f t="shared" si="15"/>
        <v>115.85</v>
      </c>
      <c r="AL68">
        <f t="shared" si="16"/>
        <v>113.3</v>
      </c>
      <c r="AM68">
        <f t="shared" si="17"/>
        <v>120.8</v>
      </c>
      <c r="AN68">
        <f t="shared" si="18"/>
        <v>116.1</v>
      </c>
      <c r="AO68">
        <f t="shared" si="19"/>
        <v>117.03888888888888</v>
      </c>
    </row>
    <row r="69" spans="1:41" x14ac:dyDescent="0.45">
      <c r="A69" t="s">
        <v>33</v>
      </c>
      <c r="B69">
        <v>2014</v>
      </c>
      <c r="C69" t="s">
        <v>45</v>
      </c>
      <c r="D69">
        <v>117.1</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112.6</v>
      </c>
      <c r="W69">
        <v>116.4</v>
      </c>
      <c r="X69">
        <v>113</v>
      </c>
      <c r="Y69">
        <v>109.7</v>
      </c>
      <c r="Z69">
        <v>114</v>
      </c>
      <c r="AA69">
        <v>120.3</v>
      </c>
      <c r="AB69">
        <v>109.6</v>
      </c>
      <c r="AC69">
        <v>113.4</v>
      </c>
      <c r="AD69">
        <v>119</v>
      </c>
      <c r="AE69">
        <f t="shared" si="11"/>
        <v>125.4</v>
      </c>
      <c r="AF69">
        <f t="shared" si="10"/>
        <v>117.1</v>
      </c>
      <c r="AG69">
        <f t="shared" si="12"/>
        <v>120.3</v>
      </c>
      <c r="AH69">
        <f t="shared" si="13"/>
        <v>112.6</v>
      </c>
      <c r="AI69">
        <f t="shared" si="14"/>
        <v>113</v>
      </c>
      <c r="AJ69">
        <f t="shared" si="14"/>
        <v>109.7</v>
      </c>
      <c r="AK69">
        <f t="shared" si="15"/>
        <v>114.55</v>
      </c>
      <c r="AL69">
        <f t="shared" si="16"/>
        <v>114</v>
      </c>
      <c r="AM69">
        <f t="shared" si="17"/>
        <v>125.8</v>
      </c>
      <c r="AN69">
        <f t="shared" si="18"/>
        <v>114.9</v>
      </c>
      <c r="AO69">
        <f t="shared" si="19"/>
        <v>116.73500000000001</v>
      </c>
    </row>
    <row r="70" spans="1:41" x14ac:dyDescent="0.45">
      <c r="A70" t="s">
        <v>34</v>
      </c>
      <c r="B70">
        <v>2014</v>
      </c>
      <c r="C70" t="s">
        <v>45</v>
      </c>
      <c r="D70">
        <v>117.1</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115.5</v>
      </c>
      <c r="W70">
        <v>117.3</v>
      </c>
      <c r="X70">
        <v>114.8</v>
      </c>
      <c r="Y70">
        <v>110.8</v>
      </c>
      <c r="Z70">
        <v>113.7</v>
      </c>
      <c r="AA70">
        <v>119</v>
      </c>
      <c r="AB70">
        <v>109.1</v>
      </c>
      <c r="AC70">
        <v>113.8</v>
      </c>
      <c r="AD70">
        <v>120.1</v>
      </c>
      <c r="AE70">
        <f t="shared" si="11"/>
        <v>125.1</v>
      </c>
      <c r="AF70">
        <f t="shared" si="10"/>
        <v>117.1</v>
      </c>
      <c r="AG70">
        <f t="shared" si="12"/>
        <v>119</v>
      </c>
      <c r="AH70">
        <f t="shared" si="13"/>
        <v>115.5</v>
      </c>
      <c r="AI70">
        <f t="shared" si="14"/>
        <v>114.8</v>
      </c>
      <c r="AJ70">
        <f t="shared" si="14"/>
        <v>110.8</v>
      </c>
      <c r="AK70">
        <f t="shared" si="15"/>
        <v>115.35</v>
      </c>
      <c r="AL70">
        <f t="shared" si="16"/>
        <v>113.7</v>
      </c>
      <c r="AM70">
        <f t="shared" si="17"/>
        <v>122.1</v>
      </c>
      <c r="AN70">
        <f t="shared" si="18"/>
        <v>115.55</v>
      </c>
      <c r="AO70">
        <f t="shared" si="19"/>
        <v>116.9</v>
      </c>
    </row>
    <row r="71" spans="1:41" x14ac:dyDescent="0.45">
      <c r="A71" t="s">
        <v>30</v>
      </c>
      <c r="B71">
        <v>2014</v>
      </c>
      <c r="C71" t="s">
        <v>46</v>
      </c>
      <c r="D71" t="s">
        <v>32</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v>117.4</v>
      </c>
      <c r="W71">
        <v>118.2</v>
      </c>
      <c r="X71">
        <v>116.2</v>
      </c>
      <c r="Y71">
        <v>111.5</v>
      </c>
      <c r="Z71">
        <v>113.3</v>
      </c>
      <c r="AA71">
        <v>117.7</v>
      </c>
      <c r="AB71">
        <v>109.4</v>
      </c>
      <c r="AC71">
        <v>114.2</v>
      </c>
      <c r="AD71">
        <v>120.3</v>
      </c>
      <c r="AE71">
        <f t="shared" si="11"/>
        <v>123.3</v>
      </c>
      <c r="AF71" t="str">
        <f t="shared" si="10"/>
        <v>NA</v>
      </c>
      <c r="AG71">
        <f t="shared" si="12"/>
        <v>117.7</v>
      </c>
      <c r="AH71">
        <f t="shared" si="13"/>
        <v>117.4</v>
      </c>
      <c r="AI71">
        <f t="shared" si="14"/>
        <v>116.2</v>
      </c>
      <c r="AJ71">
        <f t="shared" si="14"/>
        <v>111.5</v>
      </c>
      <c r="AK71">
        <f t="shared" si="15"/>
        <v>116.35</v>
      </c>
      <c r="AL71">
        <f t="shared" si="16"/>
        <v>113.3</v>
      </c>
      <c r="AM71">
        <f t="shared" si="17"/>
        <v>121.7</v>
      </c>
      <c r="AN71">
        <f t="shared" si="18"/>
        <v>116.2</v>
      </c>
      <c r="AO71">
        <f t="shared" si="19"/>
        <v>117.07222222222221</v>
      </c>
    </row>
    <row r="72" spans="1:41" x14ac:dyDescent="0.45">
      <c r="A72" t="s">
        <v>33</v>
      </c>
      <c r="B72">
        <v>2014</v>
      </c>
      <c r="C72" t="s">
        <v>46</v>
      </c>
      <c r="D72">
        <v>116.5</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113</v>
      </c>
      <c r="W72">
        <v>116.8</v>
      </c>
      <c r="X72">
        <v>113.2</v>
      </c>
      <c r="Y72">
        <v>108.8</v>
      </c>
      <c r="Z72">
        <v>114.3</v>
      </c>
      <c r="AA72">
        <v>120.7</v>
      </c>
      <c r="AB72">
        <v>110.4</v>
      </c>
      <c r="AC72">
        <v>113.4</v>
      </c>
      <c r="AD72">
        <v>118.4</v>
      </c>
      <c r="AE72">
        <f t="shared" si="11"/>
        <v>124</v>
      </c>
      <c r="AF72">
        <f t="shared" si="10"/>
        <v>116.5</v>
      </c>
      <c r="AG72">
        <f t="shared" si="12"/>
        <v>120.7</v>
      </c>
      <c r="AH72">
        <f t="shared" si="13"/>
        <v>113</v>
      </c>
      <c r="AI72">
        <f t="shared" si="14"/>
        <v>113.2</v>
      </c>
      <c r="AJ72">
        <f t="shared" si="14"/>
        <v>108.8</v>
      </c>
      <c r="AK72">
        <f t="shared" si="15"/>
        <v>115.2</v>
      </c>
      <c r="AL72">
        <f t="shared" si="16"/>
        <v>114.3</v>
      </c>
      <c r="AM72">
        <f t="shared" si="17"/>
        <v>126.4</v>
      </c>
      <c r="AN72">
        <f t="shared" si="18"/>
        <v>115.1</v>
      </c>
      <c r="AO72">
        <f t="shared" si="19"/>
        <v>116.71999999999998</v>
      </c>
    </row>
    <row r="73" spans="1:41" x14ac:dyDescent="0.45">
      <c r="A73" t="s">
        <v>34</v>
      </c>
      <c r="B73">
        <v>2014</v>
      </c>
      <c r="C73" t="s">
        <v>46</v>
      </c>
      <c r="D73">
        <v>116.5</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115.7</v>
      </c>
      <c r="W73">
        <v>117.5</v>
      </c>
      <c r="X73">
        <v>115.1</v>
      </c>
      <c r="Y73">
        <v>110.1</v>
      </c>
      <c r="Z73">
        <v>113.9</v>
      </c>
      <c r="AA73">
        <v>119.5</v>
      </c>
      <c r="AB73">
        <v>109.8</v>
      </c>
      <c r="AC73">
        <v>113.8</v>
      </c>
      <c r="AD73">
        <v>119.4</v>
      </c>
      <c r="AE73">
        <f t="shared" si="11"/>
        <v>123.6</v>
      </c>
      <c r="AF73">
        <f t="shared" si="10"/>
        <v>116.5</v>
      </c>
      <c r="AG73">
        <f t="shared" si="12"/>
        <v>119.5</v>
      </c>
      <c r="AH73">
        <f t="shared" si="13"/>
        <v>115.7</v>
      </c>
      <c r="AI73">
        <f t="shared" si="14"/>
        <v>115.1</v>
      </c>
      <c r="AJ73">
        <f t="shared" si="14"/>
        <v>110.1</v>
      </c>
      <c r="AK73">
        <f t="shared" si="15"/>
        <v>115.9</v>
      </c>
      <c r="AL73">
        <f t="shared" si="16"/>
        <v>113.9</v>
      </c>
      <c r="AM73">
        <f t="shared" si="17"/>
        <v>123</v>
      </c>
      <c r="AN73">
        <f t="shared" si="18"/>
        <v>115.65</v>
      </c>
      <c r="AO73">
        <f t="shared" si="19"/>
        <v>116.89500000000001</v>
      </c>
    </row>
    <row r="74" spans="1:41" x14ac:dyDescent="0.45">
      <c r="A74" t="s">
        <v>30</v>
      </c>
      <c r="B74">
        <v>2015</v>
      </c>
      <c r="C74" t="s">
        <v>35</v>
      </c>
      <c r="D74" t="s">
        <v>32</v>
      </c>
      <c r="E74">
        <v>123.4</v>
      </c>
      <c r="F74">
        <v>124.4</v>
      </c>
      <c r="G74">
        <v>122.1</v>
      </c>
      <c r="H74">
        <v>125.8</v>
      </c>
      <c r="I74">
        <v>111.5</v>
      </c>
      <c r="J74">
        <v>129.4</v>
      </c>
      <c r="K74">
        <v>128.19999999999999</v>
      </c>
      <c r="L74">
        <v>118.8</v>
      </c>
      <c r="M74">
        <v>100</v>
      </c>
      <c r="N74">
        <v>118.6</v>
      </c>
      <c r="O74">
        <v>118.8</v>
      </c>
      <c r="P74">
        <v>126.8</v>
      </c>
      <c r="Q74">
        <v>122.8</v>
      </c>
      <c r="R74">
        <v>124.2</v>
      </c>
      <c r="S74">
        <v>125.4</v>
      </c>
      <c r="T74">
        <v>122.7</v>
      </c>
      <c r="U74">
        <v>125</v>
      </c>
      <c r="V74">
        <v>120</v>
      </c>
      <c r="W74">
        <v>119.6</v>
      </c>
      <c r="X74">
        <v>117.7</v>
      </c>
      <c r="Y74">
        <v>110.9</v>
      </c>
      <c r="Z74">
        <v>114.8</v>
      </c>
      <c r="AA74">
        <v>118.7</v>
      </c>
      <c r="AB74">
        <v>110.8</v>
      </c>
      <c r="AC74">
        <v>115</v>
      </c>
      <c r="AD74">
        <v>120.6</v>
      </c>
      <c r="AE74">
        <f t="shared" ref="AE74:AE107" si="20">Q74</f>
        <v>122.8</v>
      </c>
      <c r="AF74" t="str">
        <f t="shared" si="10"/>
        <v>NA</v>
      </c>
      <c r="AG74">
        <f t="shared" ref="AG74:AG107" si="21">AA74</f>
        <v>118.7</v>
      </c>
      <c r="AH74">
        <f t="shared" ref="AH74:AH107" si="22">V74</f>
        <v>120</v>
      </c>
      <c r="AI74">
        <f t="shared" ref="AI74" si="23">X74</f>
        <v>117.7</v>
      </c>
      <c r="AJ74">
        <f t="shared" si="14"/>
        <v>110.9</v>
      </c>
      <c r="AK74">
        <f t="shared" ref="AK74:AK107" si="24">AVERAGE(U74,AB74)</f>
        <v>117.9</v>
      </c>
      <c r="AL74">
        <f t="shared" ref="AL74:AL107" si="25">Z74</f>
        <v>114.8</v>
      </c>
      <c r="AM74">
        <f t="shared" ref="AM74:AM107" si="26">R74</f>
        <v>124.2</v>
      </c>
      <c r="AN74">
        <f t="shared" ref="AN74:AN107" si="27">AVERAGE(W74,AC74)</f>
        <v>117.3</v>
      </c>
      <c r="AO74">
        <f t="shared" ref="AO74:AO107" si="28">AVERAGE(AE74:AN74)</f>
        <v>118.25555555555555</v>
      </c>
    </row>
    <row r="75" spans="1:41" x14ac:dyDescent="0.45">
      <c r="A75" t="s">
        <v>33</v>
      </c>
      <c r="B75">
        <v>2015</v>
      </c>
      <c r="C75" t="s">
        <v>31</v>
      </c>
      <c r="D75">
        <v>117.3</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113.4</v>
      </c>
      <c r="W75">
        <v>117.2</v>
      </c>
      <c r="X75">
        <v>113.7</v>
      </c>
      <c r="Y75">
        <v>107.9</v>
      </c>
      <c r="Z75">
        <v>114.6</v>
      </c>
      <c r="AA75">
        <v>120.8</v>
      </c>
      <c r="AB75">
        <v>111.4</v>
      </c>
      <c r="AC75">
        <v>113.4</v>
      </c>
      <c r="AD75">
        <v>118.5</v>
      </c>
      <c r="AE75">
        <f t="shared" si="20"/>
        <v>123.5</v>
      </c>
      <c r="AF75">
        <f t="shared" si="10"/>
        <v>117.3</v>
      </c>
      <c r="AG75">
        <f t="shared" si="21"/>
        <v>120.8</v>
      </c>
      <c r="AH75">
        <f t="shared" si="22"/>
        <v>113.4</v>
      </c>
      <c r="AI75">
        <f t="shared" si="14"/>
        <v>113.7</v>
      </c>
      <c r="AJ75">
        <f t="shared" si="14"/>
        <v>107.9</v>
      </c>
      <c r="AK75">
        <f t="shared" si="24"/>
        <v>115.80000000000001</v>
      </c>
      <c r="AL75">
        <f t="shared" si="25"/>
        <v>114.6</v>
      </c>
      <c r="AM75">
        <f t="shared" si="26"/>
        <v>127.4</v>
      </c>
      <c r="AN75">
        <f t="shared" si="27"/>
        <v>115.30000000000001</v>
      </c>
      <c r="AO75">
        <f t="shared" si="28"/>
        <v>116.97</v>
      </c>
    </row>
    <row r="76" spans="1:41" x14ac:dyDescent="0.45">
      <c r="A76" t="s">
        <v>34</v>
      </c>
      <c r="B76">
        <v>2015</v>
      </c>
      <c r="C76" t="s">
        <v>31</v>
      </c>
      <c r="D76">
        <v>117.3</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116.5</v>
      </c>
      <c r="W76">
        <v>118.1</v>
      </c>
      <c r="X76">
        <v>115.5</v>
      </c>
      <c r="Y76">
        <v>109.4</v>
      </c>
      <c r="Z76">
        <v>114.3</v>
      </c>
      <c r="AA76">
        <v>119.7</v>
      </c>
      <c r="AB76">
        <v>110.7</v>
      </c>
      <c r="AC76">
        <v>114</v>
      </c>
      <c r="AD76">
        <v>119.5</v>
      </c>
      <c r="AE76">
        <f t="shared" si="20"/>
        <v>123.1</v>
      </c>
      <c r="AF76">
        <f t="shared" si="10"/>
        <v>117.3</v>
      </c>
      <c r="AG76">
        <f t="shared" si="21"/>
        <v>119.7</v>
      </c>
      <c r="AH76">
        <f t="shared" si="22"/>
        <v>116.5</v>
      </c>
      <c r="AI76">
        <f t="shared" si="14"/>
        <v>115.5</v>
      </c>
      <c r="AJ76">
        <f t="shared" si="14"/>
        <v>109.4</v>
      </c>
      <c r="AK76">
        <f t="shared" si="24"/>
        <v>116.6</v>
      </c>
      <c r="AL76">
        <f t="shared" si="25"/>
        <v>114.3</v>
      </c>
      <c r="AM76">
        <f t="shared" si="26"/>
        <v>124</v>
      </c>
      <c r="AN76">
        <f t="shared" si="27"/>
        <v>116.05</v>
      </c>
      <c r="AO76">
        <f t="shared" si="28"/>
        <v>117.24499999999998</v>
      </c>
    </row>
    <row r="77" spans="1:41" x14ac:dyDescent="0.45">
      <c r="A77" t="s">
        <v>30</v>
      </c>
      <c r="B77">
        <v>2015</v>
      </c>
      <c r="C77" t="s">
        <v>31</v>
      </c>
      <c r="D77" t="s">
        <v>32</v>
      </c>
      <c r="E77">
        <v>123.1</v>
      </c>
      <c r="F77">
        <v>123.1</v>
      </c>
      <c r="G77">
        <v>122.1</v>
      </c>
      <c r="H77">
        <v>124.9</v>
      </c>
      <c r="I77">
        <v>111</v>
      </c>
      <c r="J77">
        <v>130.4</v>
      </c>
      <c r="K77">
        <v>132.30000000000001</v>
      </c>
      <c r="L77">
        <v>117.2</v>
      </c>
      <c r="M77">
        <v>100.5</v>
      </c>
      <c r="N77">
        <v>117.2</v>
      </c>
      <c r="O77">
        <v>117.9</v>
      </c>
      <c r="P77">
        <v>125.6</v>
      </c>
      <c r="Q77">
        <v>122.8</v>
      </c>
      <c r="R77">
        <v>122.7</v>
      </c>
      <c r="S77">
        <v>124.4</v>
      </c>
      <c r="T77">
        <v>121.6</v>
      </c>
      <c r="U77">
        <v>124</v>
      </c>
      <c r="V77">
        <v>118.4</v>
      </c>
      <c r="W77">
        <v>118.9</v>
      </c>
      <c r="X77">
        <v>116.6</v>
      </c>
      <c r="Y77">
        <v>111</v>
      </c>
      <c r="Z77">
        <v>114</v>
      </c>
      <c r="AA77">
        <v>118.2</v>
      </c>
      <c r="AB77">
        <v>110.2</v>
      </c>
      <c r="AC77">
        <v>114.5</v>
      </c>
      <c r="AD77">
        <v>120.3</v>
      </c>
      <c r="AE77">
        <f t="shared" si="20"/>
        <v>122.8</v>
      </c>
      <c r="AF77" t="str">
        <f t="shared" si="10"/>
        <v>NA</v>
      </c>
      <c r="AG77">
        <f t="shared" si="21"/>
        <v>118.2</v>
      </c>
      <c r="AH77">
        <f t="shared" si="22"/>
        <v>118.4</v>
      </c>
      <c r="AI77">
        <f t="shared" si="14"/>
        <v>116.6</v>
      </c>
      <c r="AJ77">
        <f t="shared" si="14"/>
        <v>111</v>
      </c>
      <c r="AK77">
        <f t="shared" si="24"/>
        <v>117.1</v>
      </c>
      <c r="AL77">
        <f t="shared" si="25"/>
        <v>114</v>
      </c>
      <c r="AM77">
        <f t="shared" si="26"/>
        <v>122.7</v>
      </c>
      <c r="AN77">
        <f t="shared" si="27"/>
        <v>116.7</v>
      </c>
      <c r="AO77">
        <f t="shared" si="28"/>
        <v>117.5</v>
      </c>
    </row>
    <row r="78" spans="1:41" x14ac:dyDescent="0.45">
      <c r="A78" t="s">
        <v>33</v>
      </c>
      <c r="B78">
        <v>2015</v>
      </c>
      <c r="C78" t="s">
        <v>35</v>
      </c>
      <c r="D78">
        <v>118.1</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114</v>
      </c>
      <c r="W78">
        <v>117.7</v>
      </c>
      <c r="X78">
        <v>114.1</v>
      </c>
      <c r="Y78">
        <v>106.8</v>
      </c>
      <c r="Z78">
        <v>114.9</v>
      </c>
      <c r="AA78">
        <v>120.4</v>
      </c>
      <c r="AB78">
        <v>111.7</v>
      </c>
      <c r="AC78">
        <v>113.2</v>
      </c>
      <c r="AD78">
        <v>118.7</v>
      </c>
      <c r="AE78">
        <f t="shared" si="20"/>
        <v>123.7</v>
      </c>
      <c r="AF78">
        <f t="shared" si="10"/>
        <v>118.1</v>
      </c>
      <c r="AG78">
        <f t="shared" si="21"/>
        <v>120.4</v>
      </c>
      <c r="AH78">
        <f t="shared" si="22"/>
        <v>114</v>
      </c>
      <c r="AI78">
        <f t="shared" si="14"/>
        <v>114.1</v>
      </c>
      <c r="AJ78">
        <f t="shared" si="14"/>
        <v>106.8</v>
      </c>
      <c r="AK78">
        <f t="shared" si="24"/>
        <v>116.15</v>
      </c>
      <c r="AL78">
        <f t="shared" si="25"/>
        <v>114.9</v>
      </c>
      <c r="AM78">
        <f t="shared" si="26"/>
        <v>128.1</v>
      </c>
      <c r="AN78">
        <f t="shared" si="27"/>
        <v>115.45</v>
      </c>
      <c r="AO78">
        <f t="shared" si="28"/>
        <v>117.17</v>
      </c>
    </row>
    <row r="79" spans="1:41" x14ac:dyDescent="0.45">
      <c r="A79" t="s">
        <v>34</v>
      </c>
      <c r="B79">
        <v>2015</v>
      </c>
      <c r="C79" t="s">
        <v>35</v>
      </c>
      <c r="D79">
        <v>118.1</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117.7</v>
      </c>
      <c r="W79">
        <v>118.7</v>
      </c>
      <c r="X79">
        <v>116.3</v>
      </c>
      <c r="Y79">
        <v>108.7</v>
      </c>
      <c r="Z79">
        <v>114.9</v>
      </c>
      <c r="AA79">
        <v>119.7</v>
      </c>
      <c r="AB79">
        <v>111.2</v>
      </c>
      <c r="AC79">
        <v>114.1</v>
      </c>
      <c r="AD79">
        <v>119.7</v>
      </c>
      <c r="AE79">
        <f t="shared" si="20"/>
        <v>123.1</v>
      </c>
      <c r="AF79">
        <f t="shared" si="10"/>
        <v>118.1</v>
      </c>
      <c r="AG79">
        <f t="shared" si="21"/>
        <v>119.7</v>
      </c>
      <c r="AH79">
        <f t="shared" si="22"/>
        <v>117.7</v>
      </c>
      <c r="AI79">
        <f t="shared" si="14"/>
        <v>116.3</v>
      </c>
      <c r="AJ79">
        <f t="shared" si="14"/>
        <v>108.7</v>
      </c>
      <c r="AK79">
        <f t="shared" si="24"/>
        <v>117.25</v>
      </c>
      <c r="AL79">
        <f t="shared" si="25"/>
        <v>114.9</v>
      </c>
      <c r="AM79">
        <f t="shared" si="26"/>
        <v>125.2</v>
      </c>
      <c r="AN79">
        <f t="shared" si="27"/>
        <v>116.4</v>
      </c>
      <c r="AO79">
        <f t="shared" si="28"/>
        <v>117.73500000000001</v>
      </c>
    </row>
    <row r="80" spans="1:41" x14ac:dyDescent="0.45">
      <c r="A80" t="s">
        <v>30</v>
      </c>
      <c r="B80">
        <v>2015</v>
      </c>
      <c r="C80" t="s">
        <v>36</v>
      </c>
      <c r="D80" t="s">
        <v>32</v>
      </c>
      <c r="E80">
        <v>123.3</v>
      </c>
      <c r="F80">
        <v>124.7</v>
      </c>
      <c r="G80">
        <v>118.9</v>
      </c>
      <c r="H80">
        <v>126</v>
      </c>
      <c r="I80">
        <v>111.8</v>
      </c>
      <c r="J80">
        <v>130.9</v>
      </c>
      <c r="K80">
        <v>128</v>
      </c>
      <c r="L80">
        <v>119.9</v>
      </c>
      <c r="M80">
        <v>98.9</v>
      </c>
      <c r="N80">
        <v>119.4</v>
      </c>
      <c r="O80">
        <v>118.9</v>
      </c>
      <c r="P80">
        <v>127.7</v>
      </c>
      <c r="Q80">
        <v>123.1</v>
      </c>
      <c r="R80">
        <v>124.7</v>
      </c>
      <c r="S80">
        <v>126</v>
      </c>
      <c r="T80">
        <v>122.9</v>
      </c>
      <c r="U80">
        <v>125.5</v>
      </c>
      <c r="V80">
        <v>120.6</v>
      </c>
      <c r="W80">
        <v>120.2</v>
      </c>
      <c r="X80">
        <v>118.2</v>
      </c>
      <c r="Y80">
        <v>111.6</v>
      </c>
      <c r="Z80">
        <v>115.5</v>
      </c>
      <c r="AA80">
        <v>119.4</v>
      </c>
      <c r="AB80">
        <v>110.8</v>
      </c>
      <c r="AC80">
        <v>115.5</v>
      </c>
      <c r="AD80">
        <v>121.1</v>
      </c>
      <c r="AE80">
        <f t="shared" si="20"/>
        <v>123.1</v>
      </c>
      <c r="AF80" t="str">
        <f t="shared" si="10"/>
        <v>NA</v>
      </c>
      <c r="AG80">
        <f t="shared" si="21"/>
        <v>119.4</v>
      </c>
      <c r="AH80">
        <f t="shared" si="22"/>
        <v>120.6</v>
      </c>
      <c r="AI80">
        <f t="shared" si="14"/>
        <v>118.2</v>
      </c>
      <c r="AJ80">
        <f t="shared" si="14"/>
        <v>111.6</v>
      </c>
      <c r="AK80">
        <f t="shared" si="24"/>
        <v>118.15</v>
      </c>
      <c r="AL80">
        <f t="shared" si="25"/>
        <v>115.5</v>
      </c>
      <c r="AM80">
        <f t="shared" si="26"/>
        <v>124.7</v>
      </c>
      <c r="AN80">
        <f t="shared" si="27"/>
        <v>117.85</v>
      </c>
      <c r="AO80">
        <f t="shared" si="28"/>
        <v>118.78888888888888</v>
      </c>
    </row>
    <row r="81" spans="1:41" x14ac:dyDescent="0.45">
      <c r="A81" t="s">
        <v>33</v>
      </c>
      <c r="B81">
        <v>2015</v>
      </c>
      <c r="C81" t="s">
        <v>36</v>
      </c>
      <c r="D81">
        <v>118.6</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114.4</v>
      </c>
      <c r="W81">
        <v>118</v>
      </c>
      <c r="X81">
        <v>114.3</v>
      </c>
      <c r="Y81">
        <v>108.4</v>
      </c>
      <c r="Z81">
        <v>115.4</v>
      </c>
      <c r="AA81">
        <v>120.6</v>
      </c>
      <c r="AB81">
        <v>111.3</v>
      </c>
      <c r="AC81">
        <v>113.8</v>
      </c>
      <c r="AD81">
        <v>119.1</v>
      </c>
      <c r="AE81">
        <f t="shared" si="20"/>
        <v>123.9</v>
      </c>
      <c r="AF81">
        <f t="shared" si="10"/>
        <v>118.6</v>
      </c>
      <c r="AG81">
        <f t="shared" si="21"/>
        <v>120.6</v>
      </c>
      <c r="AH81">
        <f t="shared" si="22"/>
        <v>114.4</v>
      </c>
      <c r="AI81">
        <f t="shared" si="14"/>
        <v>114.3</v>
      </c>
      <c r="AJ81">
        <f t="shared" si="14"/>
        <v>108.4</v>
      </c>
      <c r="AK81">
        <f t="shared" si="24"/>
        <v>116.1</v>
      </c>
      <c r="AL81">
        <f t="shared" si="25"/>
        <v>115.4</v>
      </c>
      <c r="AM81">
        <f t="shared" si="26"/>
        <v>128.80000000000001</v>
      </c>
      <c r="AN81">
        <f t="shared" si="27"/>
        <v>115.9</v>
      </c>
      <c r="AO81">
        <f t="shared" si="28"/>
        <v>117.64000000000001</v>
      </c>
    </row>
    <row r="82" spans="1:41" x14ac:dyDescent="0.45">
      <c r="A82" t="s">
        <v>34</v>
      </c>
      <c r="B82">
        <v>2015</v>
      </c>
      <c r="C82" t="s">
        <v>36</v>
      </c>
      <c r="D82">
        <v>118.6</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118.3</v>
      </c>
      <c r="W82">
        <v>119.2</v>
      </c>
      <c r="X82">
        <v>116.7</v>
      </c>
      <c r="Y82">
        <v>109.9</v>
      </c>
      <c r="Z82">
        <v>115.4</v>
      </c>
      <c r="AA82">
        <v>120.1</v>
      </c>
      <c r="AB82">
        <v>111</v>
      </c>
      <c r="AC82">
        <v>114.7</v>
      </c>
      <c r="AD82">
        <v>120.2</v>
      </c>
      <c r="AE82">
        <f t="shared" si="20"/>
        <v>123.4</v>
      </c>
      <c r="AF82">
        <f t="shared" si="10"/>
        <v>118.6</v>
      </c>
      <c r="AG82">
        <f t="shared" si="21"/>
        <v>120.1</v>
      </c>
      <c r="AH82">
        <f t="shared" si="22"/>
        <v>118.3</v>
      </c>
      <c r="AI82">
        <f t="shared" si="14"/>
        <v>116.7</v>
      </c>
      <c r="AJ82">
        <f t="shared" si="14"/>
        <v>109.9</v>
      </c>
      <c r="AK82">
        <f t="shared" si="24"/>
        <v>117.35</v>
      </c>
      <c r="AL82">
        <f t="shared" si="25"/>
        <v>115.4</v>
      </c>
      <c r="AM82">
        <f t="shared" si="26"/>
        <v>125.8</v>
      </c>
      <c r="AN82">
        <f t="shared" si="27"/>
        <v>116.95</v>
      </c>
      <c r="AO82">
        <f t="shared" si="28"/>
        <v>118.25</v>
      </c>
    </row>
    <row r="83" spans="1:41" x14ac:dyDescent="0.45">
      <c r="A83" t="s">
        <v>30</v>
      </c>
      <c r="B83">
        <v>2015</v>
      </c>
      <c r="C83" t="s">
        <v>46</v>
      </c>
      <c r="D83" t="s">
        <v>32</v>
      </c>
      <c r="E83">
        <v>126.3</v>
      </c>
      <c r="F83">
        <v>131.30000000000001</v>
      </c>
      <c r="G83">
        <v>123.3</v>
      </c>
      <c r="H83">
        <v>129.80000000000001</v>
      </c>
      <c r="I83">
        <v>118.3</v>
      </c>
      <c r="J83">
        <v>131.6</v>
      </c>
      <c r="K83">
        <v>145.5</v>
      </c>
      <c r="L83">
        <v>162.1</v>
      </c>
      <c r="M83">
        <v>95.4</v>
      </c>
      <c r="N83">
        <v>128.9</v>
      </c>
      <c r="O83">
        <v>123.3</v>
      </c>
      <c r="P83">
        <v>135.1</v>
      </c>
      <c r="Q83">
        <v>131.4</v>
      </c>
      <c r="R83">
        <v>133.1</v>
      </c>
      <c r="S83">
        <v>132.5</v>
      </c>
      <c r="T83">
        <v>128.5</v>
      </c>
      <c r="U83">
        <v>131.9</v>
      </c>
      <c r="V83">
        <v>125.7</v>
      </c>
      <c r="W83">
        <v>126</v>
      </c>
      <c r="X83">
        <v>123.1</v>
      </c>
      <c r="Y83">
        <v>114</v>
      </c>
      <c r="Z83">
        <v>121.6</v>
      </c>
      <c r="AA83">
        <v>125.6</v>
      </c>
      <c r="AB83">
        <v>114.1</v>
      </c>
      <c r="AC83">
        <v>119.8</v>
      </c>
      <c r="AD83">
        <v>127.9</v>
      </c>
      <c r="AE83">
        <f t="shared" si="20"/>
        <v>131.4</v>
      </c>
      <c r="AF83" t="str">
        <f t="shared" si="10"/>
        <v>NA</v>
      </c>
      <c r="AG83">
        <f t="shared" si="21"/>
        <v>125.6</v>
      </c>
      <c r="AH83">
        <f t="shared" si="22"/>
        <v>125.7</v>
      </c>
      <c r="AI83">
        <f t="shared" si="14"/>
        <v>123.1</v>
      </c>
      <c r="AJ83">
        <f t="shared" si="14"/>
        <v>114</v>
      </c>
      <c r="AK83">
        <f t="shared" si="24"/>
        <v>123</v>
      </c>
      <c r="AL83">
        <f t="shared" si="25"/>
        <v>121.6</v>
      </c>
      <c r="AM83">
        <f t="shared" si="26"/>
        <v>133.1</v>
      </c>
      <c r="AN83">
        <f t="shared" si="27"/>
        <v>122.9</v>
      </c>
      <c r="AO83">
        <f t="shared" si="28"/>
        <v>124.48888888888889</v>
      </c>
    </row>
    <row r="84" spans="1:41" x14ac:dyDescent="0.45">
      <c r="A84" t="s">
        <v>33</v>
      </c>
      <c r="B84">
        <v>2015</v>
      </c>
      <c r="C84" t="s">
        <v>37</v>
      </c>
      <c r="D84">
        <v>119.2</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114.7</v>
      </c>
      <c r="W84">
        <v>118.4</v>
      </c>
      <c r="X84">
        <v>114.6</v>
      </c>
      <c r="Y84">
        <v>108.4</v>
      </c>
      <c r="Z84">
        <v>115.6</v>
      </c>
      <c r="AA84">
        <v>121.7</v>
      </c>
      <c r="AB84">
        <v>111.8</v>
      </c>
      <c r="AC84">
        <v>114.2</v>
      </c>
      <c r="AD84">
        <v>119.7</v>
      </c>
      <c r="AE84">
        <f t="shared" si="20"/>
        <v>124.6</v>
      </c>
      <c r="AF84">
        <f t="shared" si="10"/>
        <v>119.2</v>
      </c>
      <c r="AG84">
        <f t="shared" si="21"/>
        <v>121.7</v>
      </c>
      <c r="AH84">
        <f t="shared" si="22"/>
        <v>114.7</v>
      </c>
      <c r="AI84">
        <f t="shared" si="14"/>
        <v>114.6</v>
      </c>
      <c r="AJ84">
        <f t="shared" si="14"/>
        <v>108.4</v>
      </c>
      <c r="AK84">
        <f t="shared" si="24"/>
        <v>116.55</v>
      </c>
      <c r="AL84">
        <f t="shared" si="25"/>
        <v>115.6</v>
      </c>
      <c r="AM84">
        <f t="shared" si="26"/>
        <v>130.1</v>
      </c>
      <c r="AN84">
        <f t="shared" si="27"/>
        <v>116.30000000000001</v>
      </c>
      <c r="AO84">
        <f t="shared" si="28"/>
        <v>118.17499999999998</v>
      </c>
    </row>
    <row r="85" spans="1:41" x14ac:dyDescent="0.45">
      <c r="A85" t="s">
        <v>34</v>
      </c>
      <c r="B85">
        <v>2015</v>
      </c>
      <c r="C85" t="s">
        <v>37</v>
      </c>
      <c r="D85">
        <v>119.2</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118.7</v>
      </c>
      <c r="W85">
        <v>119.7</v>
      </c>
      <c r="X85">
        <v>117.1</v>
      </c>
      <c r="Y85">
        <v>110.1</v>
      </c>
      <c r="Z85">
        <v>115.9</v>
      </c>
      <c r="AA85">
        <v>121</v>
      </c>
      <c r="AB85">
        <v>111.7</v>
      </c>
      <c r="AC85">
        <v>115.1</v>
      </c>
      <c r="AD85">
        <v>120.7</v>
      </c>
      <c r="AE85">
        <f t="shared" si="20"/>
        <v>124</v>
      </c>
      <c r="AF85">
        <f t="shared" si="10"/>
        <v>119.2</v>
      </c>
      <c r="AG85">
        <f t="shared" si="21"/>
        <v>121</v>
      </c>
      <c r="AH85">
        <f t="shared" si="22"/>
        <v>118.7</v>
      </c>
      <c r="AI85">
        <f t="shared" si="14"/>
        <v>117.1</v>
      </c>
      <c r="AJ85">
        <f t="shared" si="14"/>
        <v>110.1</v>
      </c>
      <c r="AK85">
        <f t="shared" si="24"/>
        <v>117.9</v>
      </c>
      <c r="AL85">
        <f t="shared" si="25"/>
        <v>115.9</v>
      </c>
      <c r="AM85">
        <f t="shared" si="26"/>
        <v>126.9</v>
      </c>
      <c r="AN85">
        <f t="shared" si="27"/>
        <v>117.4</v>
      </c>
      <c r="AO85">
        <f t="shared" si="28"/>
        <v>118.82000000000001</v>
      </c>
    </row>
    <row r="86" spans="1:41" x14ac:dyDescent="0.45">
      <c r="A86" t="s">
        <v>30</v>
      </c>
      <c r="B86">
        <v>2015</v>
      </c>
      <c r="C86" t="s">
        <v>45</v>
      </c>
      <c r="D86" t="s">
        <v>32</v>
      </c>
      <c r="E86">
        <v>126.1</v>
      </c>
      <c r="F86">
        <v>130.6</v>
      </c>
      <c r="G86">
        <v>121.7</v>
      </c>
      <c r="H86">
        <v>129.5</v>
      </c>
      <c r="I86">
        <v>117.8</v>
      </c>
      <c r="J86">
        <v>132.1</v>
      </c>
      <c r="K86">
        <v>155.19999999999999</v>
      </c>
      <c r="L86">
        <v>160.80000000000001</v>
      </c>
      <c r="M86">
        <v>94.5</v>
      </c>
      <c r="N86">
        <v>128.30000000000001</v>
      </c>
      <c r="O86">
        <v>123.1</v>
      </c>
      <c r="P86">
        <v>134.19999999999999</v>
      </c>
      <c r="Q86">
        <v>132.4</v>
      </c>
      <c r="R86">
        <v>132.19999999999999</v>
      </c>
      <c r="S86">
        <v>132.1</v>
      </c>
      <c r="T86">
        <v>128.19999999999999</v>
      </c>
      <c r="U86">
        <v>131.5</v>
      </c>
      <c r="V86">
        <v>125.6</v>
      </c>
      <c r="W86">
        <v>125.6</v>
      </c>
      <c r="X86">
        <v>122.6</v>
      </c>
      <c r="Y86">
        <v>114</v>
      </c>
      <c r="Z86">
        <v>120.9</v>
      </c>
      <c r="AA86">
        <v>125.8</v>
      </c>
      <c r="AB86">
        <v>114.2</v>
      </c>
      <c r="AC86">
        <v>119.6</v>
      </c>
      <c r="AD86">
        <v>128.30000000000001</v>
      </c>
      <c r="AE86">
        <f t="shared" si="20"/>
        <v>132.4</v>
      </c>
      <c r="AF86" t="str">
        <f t="shared" si="10"/>
        <v>NA</v>
      </c>
      <c r="AG86">
        <f t="shared" si="21"/>
        <v>125.8</v>
      </c>
      <c r="AH86">
        <f t="shared" si="22"/>
        <v>125.6</v>
      </c>
      <c r="AI86">
        <f t="shared" si="14"/>
        <v>122.6</v>
      </c>
      <c r="AJ86">
        <f t="shared" si="14"/>
        <v>114</v>
      </c>
      <c r="AK86">
        <f t="shared" si="24"/>
        <v>122.85</v>
      </c>
      <c r="AL86">
        <f t="shared" si="25"/>
        <v>120.9</v>
      </c>
      <c r="AM86">
        <f t="shared" si="26"/>
        <v>132.19999999999999</v>
      </c>
      <c r="AN86">
        <f t="shared" si="27"/>
        <v>122.6</v>
      </c>
      <c r="AO86">
        <f t="shared" si="28"/>
        <v>124.32777777777775</v>
      </c>
    </row>
    <row r="87" spans="1:41" x14ac:dyDescent="0.45">
      <c r="A87" t="s">
        <v>33</v>
      </c>
      <c r="B87">
        <v>2015</v>
      </c>
      <c r="C87" t="s">
        <v>38</v>
      </c>
      <c r="D87">
        <v>119.6</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114.9</v>
      </c>
      <c r="W87">
        <v>118.7</v>
      </c>
      <c r="X87">
        <v>114.9</v>
      </c>
      <c r="Y87">
        <v>110.8</v>
      </c>
      <c r="Z87">
        <v>116</v>
      </c>
      <c r="AA87">
        <v>122</v>
      </c>
      <c r="AB87">
        <v>112.4</v>
      </c>
      <c r="AC87">
        <v>115.2</v>
      </c>
      <c r="AD87">
        <v>120.7</v>
      </c>
      <c r="AE87">
        <f t="shared" si="20"/>
        <v>126.1</v>
      </c>
      <c r="AF87">
        <f t="shared" si="10"/>
        <v>119.6</v>
      </c>
      <c r="AG87">
        <f t="shared" si="21"/>
        <v>122</v>
      </c>
      <c r="AH87">
        <f t="shared" si="22"/>
        <v>114.9</v>
      </c>
      <c r="AI87">
        <f t="shared" si="14"/>
        <v>114.9</v>
      </c>
      <c r="AJ87">
        <f t="shared" si="14"/>
        <v>110.8</v>
      </c>
      <c r="AK87">
        <f t="shared" si="24"/>
        <v>117</v>
      </c>
      <c r="AL87">
        <f t="shared" si="25"/>
        <v>116</v>
      </c>
      <c r="AM87">
        <f t="shared" si="26"/>
        <v>131.30000000000001</v>
      </c>
      <c r="AN87">
        <f t="shared" si="27"/>
        <v>116.95</v>
      </c>
      <c r="AO87">
        <f t="shared" si="28"/>
        <v>118.955</v>
      </c>
    </row>
    <row r="88" spans="1:41" x14ac:dyDescent="0.45">
      <c r="A88" t="s">
        <v>34</v>
      </c>
      <c r="B88">
        <v>2015</v>
      </c>
      <c r="C88" t="s">
        <v>38</v>
      </c>
      <c r="D88">
        <v>119.6</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119.2</v>
      </c>
      <c r="W88">
        <v>120.2</v>
      </c>
      <c r="X88">
        <v>117.7</v>
      </c>
      <c r="Y88">
        <v>112</v>
      </c>
      <c r="Z88">
        <v>116.3</v>
      </c>
      <c r="AA88">
        <v>121.4</v>
      </c>
      <c r="AB88">
        <v>112.3</v>
      </c>
      <c r="AC88">
        <v>116.1</v>
      </c>
      <c r="AD88">
        <v>121.6</v>
      </c>
      <c r="AE88">
        <f t="shared" si="20"/>
        <v>125</v>
      </c>
      <c r="AF88">
        <f t="shared" si="10"/>
        <v>119.6</v>
      </c>
      <c r="AG88">
        <f t="shared" si="21"/>
        <v>121.4</v>
      </c>
      <c r="AH88">
        <f t="shared" si="22"/>
        <v>119.2</v>
      </c>
      <c r="AI88">
        <f t="shared" si="14"/>
        <v>117.7</v>
      </c>
      <c r="AJ88">
        <f t="shared" si="14"/>
        <v>112</v>
      </c>
      <c r="AK88">
        <f t="shared" si="24"/>
        <v>118.5</v>
      </c>
      <c r="AL88">
        <f t="shared" si="25"/>
        <v>116.3</v>
      </c>
      <c r="AM88">
        <f t="shared" si="26"/>
        <v>127.9</v>
      </c>
      <c r="AN88">
        <f t="shared" si="27"/>
        <v>118.15</v>
      </c>
      <c r="AO88">
        <f t="shared" si="28"/>
        <v>119.575</v>
      </c>
    </row>
    <row r="89" spans="1:41" x14ac:dyDescent="0.45">
      <c r="A89" t="s">
        <v>30</v>
      </c>
      <c r="B89">
        <v>2015</v>
      </c>
      <c r="C89" t="s">
        <v>42</v>
      </c>
      <c r="D89" t="s">
        <v>32</v>
      </c>
      <c r="E89">
        <v>125.1</v>
      </c>
      <c r="F89">
        <v>131.1</v>
      </c>
      <c r="G89">
        <v>120.7</v>
      </c>
      <c r="H89">
        <v>129.19999999999999</v>
      </c>
      <c r="I89">
        <v>114.7</v>
      </c>
      <c r="J89">
        <v>132.30000000000001</v>
      </c>
      <c r="K89">
        <v>158.9</v>
      </c>
      <c r="L89">
        <v>142.1</v>
      </c>
      <c r="M89">
        <v>92.5</v>
      </c>
      <c r="N89">
        <v>125.4</v>
      </c>
      <c r="O89">
        <v>121.9</v>
      </c>
      <c r="P89">
        <v>132.69999999999999</v>
      </c>
      <c r="Q89">
        <v>131</v>
      </c>
      <c r="R89">
        <v>131</v>
      </c>
      <c r="S89">
        <v>130.4</v>
      </c>
      <c r="T89">
        <v>126.8</v>
      </c>
      <c r="U89">
        <v>129.9</v>
      </c>
      <c r="V89">
        <v>123.7</v>
      </c>
      <c r="W89">
        <v>124.5</v>
      </c>
      <c r="X89">
        <v>121.4</v>
      </c>
      <c r="Y89">
        <v>113.8</v>
      </c>
      <c r="Z89">
        <v>119.6</v>
      </c>
      <c r="AA89">
        <v>124.5</v>
      </c>
      <c r="AB89">
        <v>113.7</v>
      </c>
      <c r="AC89">
        <v>118.8</v>
      </c>
      <c r="AD89">
        <v>127</v>
      </c>
      <c r="AE89">
        <f t="shared" si="20"/>
        <v>131</v>
      </c>
      <c r="AF89" t="str">
        <f t="shared" si="10"/>
        <v>NA</v>
      </c>
      <c r="AG89">
        <f t="shared" si="21"/>
        <v>124.5</v>
      </c>
      <c r="AH89">
        <f t="shared" si="22"/>
        <v>123.7</v>
      </c>
      <c r="AI89">
        <f t="shared" si="14"/>
        <v>121.4</v>
      </c>
      <c r="AJ89">
        <f t="shared" si="14"/>
        <v>113.8</v>
      </c>
      <c r="AK89">
        <f t="shared" si="24"/>
        <v>121.80000000000001</v>
      </c>
      <c r="AL89">
        <f t="shared" si="25"/>
        <v>119.6</v>
      </c>
      <c r="AM89">
        <f t="shared" si="26"/>
        <v>131</v>
      </c>
      <c r="AN89">
        <f t="shared" si="27"/>
        <v>121.65</v>
      </c>
      <c r="AO89">
        <f t="shared" si="28"/>
        <v>123.16111111111111</v>
      </c>
    </row>
    <row r="90" spans="1:41" x14ac:dyDescent="0.45">
      <c r="A90" t="s">
        <v>33</v>
      </c>
      <c r="B90">
        <v>2015</v>
      </c>
      <c r="C90" t="s">
        <v>39</v>
      </c>
      <c r="D90">
        <v>119</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115.1</v>
      </c>
      <c r="W90">
        <v>119.2</v>
      </c>
      <c r="X90">
        <v>115.4</v>
      </c>
      <c r="Y90">
        <v>111.7</v>
      </c>
      <c r="Z90">
        <v>116.2</v>
      </c>
      <c r="AA90">
        <v>123.8</v>
      </c>
      <c r="AB90">
        <v>112.5</v>
      </c>
      <c r="AC90">
        <v>116</v>
      </c>
      <c r="AD90">
        <v>121.7</v>
      </c>
      <c r="AE90">
        <f t="shared" si="20"/>
        <v>128.5</v>
      </c>
      <c r="AF90">
        <f t="shared" si="10"/>
        <v>119</v>
      </c>
      <c r="AG90">
        <f t="shared" si="21"/>
        <v>123.8</v>
      </c>
      <c r="AH90">
        <f t="shared" si="22"/>
        <v>115.1</v>
      </c>
      <c r="AI90">
        <f t="shared" si="14"/>
        <v>115.4</v>
      </c>
      <c r="AJ90">
        <f t="shared" si="14"/>
        <v>111.7</v>
      </c>
      <c r="AK90">
        <f t="shared" si="24"/>
        <v>117.4</v>
      </c>
      <c r="AL90">
        <f t="shared" si="25"/>
        <v>116.2</v>
      </c>
      <c r="AM90">
        <f t="shared" si="26"/>
        <v>132.1</v>
      </c>
      <c r="AN90">
        <f t="shared" si="27"/>
        <v>117.6</v>
      </c>
      <c r="AO90">
        <f t="shared" si="28"/>
        <v>119.67999999999999</v>
      </c>
    </row>
    <row r="91" spans="1:41" x14ac:dyDescent="0.45">
      <c r="A91" t="s">
        <v>34</v>
      </c>
      <c r="B91">
        <v>2015</v>
      </c>
      <c r="C91" t="s">
        <v>39</v>
      </c>
      <c r="D91">
        <v>119</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119.8</v>
      </c>
      <c r="W91">
        <v>121.1</v>
      </c>
      <c r="X91">
        <v>118.5</v>
      </c>
      <c r="Y91">
        <v>112.9</v>
      </c>
      <c r="Z91">
        <v>116.9</v>
      </c>
      <c r="AA91">
        <v>123.1</v>
      </c>
      <c r="AB91">
        <v>112.8</v>
      </c>
      <c r="AC91">
        <v>117</v>
      </c>
      <c r="AD91">
        <v>123</v>
      </c>
      <c r="AE91">
        <f t="shared" si="20"/>
        <v>127.3</v>
      </c>
      <c r="AF91">
        <f t="shared" si="10"/>
        <v>119</v>
      </c>
      <c r="AG91">
        <f t="shared" si="21"/>
        <v>123.1</v>
      </c>
      <c r="AH91">
        <f t="shared" si="22"/>
        <v>119.8</v>
      </c>
      <c r="AI91">
        <f t="shared" si="14"/>
        <v>118.5</v>
      </c>
      <c r="AJ91">
        <f t="shared" si="14"/>
        <v>112.9</v>
      </c>
      <c r="AK91">
        <f t="shared" si="24"/>
        <v>119.25</v>
      </c>
      <c r="AL91">
        <f t="shared" si="25"/>
        <v>116.9</v>
      </c>
      <c r="AM91">
        <f t="shared" si="26"/>
        <v>129.19999999999999</v>
      </c>
      <c r="AN91">
        <f t="shared" si="27"/>
        <v>119.05</v>
      </c>
      <c r="AO91">
        <f t="shared" si="28"/>
        <v>120.5</v>
      </c>
    </row>
    <row r="92" spans="1:41" x14ac:dyDescent="0.45">
      <c r="A92" t="s">
        <v>30</v>
      </c>
      <c r="B92">
        <v>2015</v>
      </c>
      <c r="C92" t="s">
        <v>39</v>
      </c>
      <c r="D92" t="s">
        <v>32</v>
      </c>
      <c r="E92">
        <v>124.1</v>
      </c>
      <c r="F92">
        <v>130.4</v>
      </c>
      <c r="G92">
        <v>122.1</v>
      </c>
      <c r="H92">
        <v>128.69999999999999</v>
      </c>
      <c r="I92">
        <v>114.1</v>
      </c>
      <c r="J92">
        <v>133.19999999999999</v>
      </c>
      <c r="K92">
        <v>135.19999999999999</v>
      </c>
      <c r="L92">
        <v>131.9</v>
      </c>
      <c r="M92">
        <v>96.3</v>
      </c>
      <c r="N92">
        <v>123</v>
      </c>
      <c r="O92">
        <v>121.1</v>
      </c>
      <c r="P92">
        <v>131.19999999999999</v>
      </c>
      <c r="Q92">
        <v>126.6</v>
      </c>
      <c r="R92">
        <v>128.19999999999999</v>
      </c>
      <c r="S92">
        <v>128.4</v>
      </c>
      <c r="T92">
        <v>125.1</v>
      </c>
      <c r="U92">
        <v>128</v>
      </c>
      <c r="V92">
        <v>122.6</v>
      </c>
      <c r="W92">
        <v>122.8</v>
      </c>
      <c r="X92">
        <v>120.4</v>
      </c>
      <c r="Y92">
        <v>114.2</v>
      </c>
      <c r="Z92">
        <v>117.9</v>
      </c>
      <c r="AA92">
        <v>122</v>
      </c>
      <c r="AB92">
        <v>113</v>
      </c>
      <c r="AC92">
        <v>117.9</v>
      </c>
      <c r="AD92">
        <v>124.1</v>
      </c>
      <c r="AE92">
        <f t="shared" si="20"/>
        <v>126.6</v>
      </c>
      <c r="AF92" t="str">
        <f t="shared" si="10"/>
        <v>NA</v>
      </c>
      <c r="AG92">
        <f t="shared" si="21"/>
        <v>122</v>
      </c>
      <c r="AH92">
        <f t="shared" si="22"/>
        <v>122.6</v>
      </c>
      <c r="AI92">
        <f t="shared" si="14"/>
        <v>120.4</v>
      </c>
      <c r="AJ92">
        <f t="shared" si="14"/>
        <v>114.2</v>
      </c>
      <c r="AK92">
        <f t="shared" si="24"/>
        <v>120.5</v>
      </c>
      <c r="AL92">
        <f t="shared" si="25"/>
        <v>117.9</v>
      </c>
      <c r="AM92">
        <f t="shared" si="26"/>
        <v>128.19999999999999</v>
      </c>
      <c r="AN92">
        <f t="shared" si="27"/>
        <v>120.35</v>
      </c>
      <c r="AO92">
        <f t="shared" si="28"/>
        <v>121.41666666666667</v>
      </c>
    </row>
    <row r="93" spans="1:41" x14ac:dyDescent="0.45">
      <c r="A93" t="s">
        <v>33</v>
      </c>
      <c r="B93">
        <v>2015</v>
      </c>
      <c r="C93" t="s">
        <v>40</v>
      </c>
      <c r="D93">
        <v>119.9</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115.3</v>
      </c>
      <c r="W93">
        <v>119.5</v>
      </c>
      <c r="X93">
        <v>116</v>
      </c>
      <c r="Y93">
        <v>111.5</v>
      </c>
      <c r="Z93">
        <v>116.6</v>
      </c>
      <c r="AA93">
        <v>125.4</v>
      </c>
      <c r="AB93">
        <v>111.7</v>
      </c>
      <c r="AC93">
        <v>116.3</v>
      </c>
      <c r="AD93">
        <v>122.4</v>
      </c>
      <c r="AE93">
        <f t="shared" si="20"/>
        <v>129.5</v>
      </c>
      <c r="AF93">
        <f t="shared" si="10"/>
        <v>119.9</v>
      </c>
      <c r="AG93">
        <f t="shared" si="21"/>
        <v>125.4</v>
      </c>
      <c r="AH93">
        <f t="shared" si="22"/>
        <v>115.3</v>
      </c>
      <c r="AI93">
        <f t="shared" si="14"/>
        <v>116</v>
      </c>
      <c r="AJ93">
        <f t="shared" si="14"/>
        <v>111.5</v>
      </c>
      <c r="AK93">
        <f t="shared" si="24"/>
        <v>117.2</v>
      </c>
      <c r="AL93">
        <f t="shared" si="25"/>
        <v>116.6</v>
      </c>
      <c r="AM93">
        <f t="shared" si="26"/>
        <v>133.1</v>
      </c>
      <c r="AN93">
        <f t="shared" si="27"/>
        <v>117.9</v>
      </c>
      <c r="AO93">
        <f t="shared" si="28"/>
        <v>120.24000000000001</v>
      </c>
    </row>
    <row r="94" spans="1:41" x14ac:dyDescent="0.45">
      <c r="A94" t="s">
        <v>34</v>
      </c>
      <c r="B94">
        <v>2015</v>
      </c>
      <c r="C94" t="s">
        <v>40</v>
      </c>
      <c r="D94">
        <v>119.9</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120.1</v>
      </c>
      <c r="W94">
        <v>121.3</v>
      </c>
      <c r="X94">
        <v>119</v>
      </c>
      <c r="Y94">
        <v>112.7</v>
      </c>
      <c r="Z94">
        <v>117.2</v>
      </c>
      <c r="AA94">
        <v>124.4</v>
      </c>
      <c r="AB94">
        <v>112.3</v>
      </c>
      <c r="AC94">
        <v>117.2</v>
      </c>
      <c r="AD94">
        <v>123.6</v>
      </c>
      <c r="AE94">
        <f t="shared" si="20"/>
        <v>128.19999999999999</v>
      </c>
      <c r="AF94">
        <f t="shared" si="10"/>
        <v>119.9</v>
      </c>
      <c r="AG94">
        <f t="shared" si="21"/>
        <v>124.4</v>
      </c>
      <c r="AH94">
        <f t="shared" si="22"/>
        <v>120.1</v>
      </c>
      <c r="AI94">
        <f t="shared" si="14"/>
        <v>119</v>
      </c>
      <c r="AJ94">
        <f t="shared" si="14"/>
        <v>112.7</v>
      </c>
      <c r="AK94">
        <f t="shared" si="24"/>
        <v>119.19999999999999</v>
      </c>
      <c r="AL94">
        <f t="shared" si="25"/>
        <v>117.2</v>
      </c>
      <c r="AM94">
        <f t="shared" si="26"/>
        <v>130.4</v>
      </c>
      <c r="AN94">
        <f t="shared" si="27"/>
        <v>119.25</v>
      </c>
      <c r="AO94">
        <f t="shared" si="28"/>
        <v>121.03500000000001</v>
      </c>
    </row>
    <row r="95" spans="1:41" x14ac:dyDescent="0.45">
      <c r="A95" t="s">
        <v>30</v>
      </c>
      <c r="B95">
        <v>2015</v>
      </c>
      <c r="C95" t="s">
        <v>43</v>
      </c>
      <c r="D95" t="s">
        <v>32</v>
      </c>
      <c r="E95">
        <v>125.6</v>
      </c>
      <c r="F95">
        <v>130.4</v>
      </c>
      <c r="G95">
        <v>120.8</v>
      </c>
      <c r="H95">
        <v>129.4</v>
      </c>
      <c r="I95">
        <v>115.8</v>
      </c>
      <c r="J95">
        <v>133.19999999999999</v>
      </c>
      <c r="K95">
        <v>157.69999999999999</v>
      </c>
      <c r="L95">
        <v>154.19999999999999</v>
      </c>
      <c r="M95">
        <v>93.7</v>
      </c>
      <c r="N95">
        <v>126.6</v>
      </c>
      <c r="O95">
        <v>122.3</v>
      </c>
      <c r="P95">
        <v>133.1</v>
      </c>
      <c r="Q95">
        <v>131.80000000000001</v>
      </c>
      <c r="R95">
        <v>131.5</v>
      </c>
      <c r="S95">
        <v>131.1</v>
      </c>
      <c r="T95">
        <v>127.3</v>
      </c>
      <c r="U95">
        <v>130.6</v>
      </c>
      <c r="V95">
        <v>124.4</v>
      </c>
      <c r="W95">
        <v>125.1</v>
      </c>
      <c r="X95">
        <v>122</v>
      </c>
      <c r="Y95">
        <v>113.8</v>
      </c>
      <c r="Z95">
        <v>120.1</v>
      </c>
      <c r="AA95">
        <v>125.1</v>
      </c>
      <c r="AB95">
        <v>114.2</v>
      </c>
      <c r="AC95">
        <v>119.2</v>
      </c>
      <c r="AD95">
        <v>127.7</v>
      </c>
      <c r="AE95">
        <f t="shared" si="20"/>
        <v>131.80000000000001</v>
      </c>
      <c r="AF95" t="str">
        <f t="shared" si="10"/>
        <v>NA</v>
      </c>
      <c r="AG95">
        <f t="shared" si="21"/>
        <v>125.1</v>
      </c>
      <c r="AH95">
        <f t="shared" si="22"/>
        <v>124.4</v>
      </c>
      <c r="AI95">
        <f t="shared" si="14"/>
        <v>122</v>
      </c>
      <c r="AJ95">
        <f t="shared" si="14"/>
        <v>113.8</v>
      </c>
      <c r="AK95">
        <f t="shared" si="24"/>
        <v>122.4</v>
      </c>
      <c r="AL95">
        <f t="shared" si="25"/>
        <v>120.1</v>
      </c>
      <c r="AM95">
        <f t="shared" si="26"/>
        <v>131.5</v>
      </c>
      <c r="AN95">
        <f t="shared" si="27"/>
        <v>122.15</v>
      </c>
      <c r="AO95">
        <f t="shared" si="28"/>
        <v>123.69444444444444</v>
      </c>
    </row>
    <row r="96" spans="1:41" x14ac:dyDescent="0.45">
      <c r="A96" t="s">
        <v>33</v>
      </c>
      <c r="B96">
        <v>2015</v>
      </c>
      <c r="C96" t="s">
        <v>41</v>
      </c>
      <c r="D96">
        <v>120.9</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115.3</v>
      </c>
      <c r="W96">
        <v>120</v>
      </c>
      <c r="X96">
        <v>116.6</v>
      </c>
      <c r="Y96">
        <v>109.9</v>
      </c>
      <c r="Z96">
        <v>117.2</v>
      </c>
      <c r="AA96">
        <v>126.2</v>
      </c>
      <c r="AB96">
        <v>112</v>
      </c>
      <c r="AC96">
        <v>116.2</v>
      </c>
      <c r="AD96">
        <v>123.2</v>
      </c>
      <c r="AE96">
        <f t="shared" si="20"/>
        <v>131.1</v>
      </c>
      <c r="AF96">
        <f t="shared" si="10"/>
        <v>120.9</v>
      </c>
      <c r="AG96">
        <f t="shared" si="21"/>
        <v>126.2</v>
      </c>
      <c r="AH96">
        <f t="shared" si="22"/>
        <v>115.3</v>
      </c>
      <c r="AI96">
        <f t="shared" si="14"/>
        <v>116.6</v>
      </c>
      <c r="AJ96">
        <f t="shared" si="14"/>
        <v>109.9</v>
      </c>
      <c r="AK96">
        <f t="shared" si="24"/>
        <v>117.45</v>
      </c>
      <c r="AL96">
        <f t="shared" si="25"/>
        <v>117.2</v>
      </c>
      <c r="AM96">
        <f t="shared" si="26"/>
        <v>134.19999999999999</v>
      </c>
      <c r="AN96">
        <f t="shared" si="27"/>
        <v>118.1</v>
      </c>
      <c r="AO96">
        <f t="shared" si="28"/>
        <v>120.69500000000001</v>
      </c>
    </row>
    <row r="97" spans="1:41" x14ac:dyDescent="0.45">
      <c r="A97" t="s">
        <v>34</v>
      </c>
      <c r="B97">
        <v>2015</v>
      </c>
      <c r="C97" t="s">
        <v>41</v>
      </c>
      <c r="D97">
        <v>120.9</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120.6</v>
      </c>
      <c r="W97">
        <v>122</v>
      </c>
      <c r="X97">
        <v>119.4</v>
      </c>
      <c r="Y97">
        <v>111.7</v>
      </c>
      <c r="Z97">
        <v>117.8</v>
      </c>
      <c r="AA97">
        <v>125.1</v>
      </c>
      <c r="AB97">
        <v>112.3</v>
      </c>
      <c r="AC97">
        <v>117.2</v>
      </c>
      <c r="AD97">
        <v>124.8</v>
      </c>
      <c r="AE97">
        <f t="shared" si="20"/>
        <v>130.30000000000001</v>
      </c>
      <c r="AF97">
        <f t="shared" si="10"/>
        <v>120.9</v>
      </c>
      <c r="AG97">
        <f t="shared" si="21"/>
        <v>125.1</v>
      </c>
      <c r="AH97">
        <f t="shared" si="22"/>
        <v>120.6</v>
      </c>
      <c r="AI97">
        <f t="shared" si="14"/>
        <v>119.4</v>
      </c>
      <c r="AJ97">
        <f t="shared" si="14"/>
        <v>111.7</v>
      </c>
      <c r="AK97">
        <f t="shared" si="24"/>
        <v>119.44999999999999</v>
      </c>
      <c r="AL97">
        <f t="shared" si="25"/>
        <v>117.8</v>
      </c>
      <c r="AM97">
        <f t="shared" si="26"/>
        <v>131.19999999999999</v>
      </c>
      <c r="AN97">
        <f t="shared" si="27"/>
        <v>119.6</v>
      </c>
      <c r="AO97">
        <f t="shared" si="28"/>
        <v>121.60499999999999</v>
      </c>
    </row>
    <row r="98" spans="1:41" x14ac:dyDescent="0.45">
      <c r="A98" t="s">
        <v>30</v>
      </c>
      <c r="B98">
        <v>2015</v>
      </c>
      <c r="C98" t="s">
        <v>40</v>
      </c>
      <c r="D98" t="s">
        <v>32</v>
      </c>
      <c r="E98">
        <v>124</v>
      </c>
      <c r="F98">
        <v>131.5</v>
      </c>
      <c r="G98">
        <v>122</v>
      </c>
      <c r="H98">
        <v>128.69999999999999</v>
      </c>
      <c r="I98">
        <v>113.5</v>
      </c>
      <c r="J98">
        <v>133.30000000000001</v>
      </c>
      <c r="K98">
        <v>140.80000000000001</v>
      </c>
      <c r="L98">
        <v>133.80000000000001</v>
      </c>
      <c r="M98">
        <v>94.1</v>
      </c>
      <c r="N98">
        <v>123.4</v>
      </c>
      <c r="O98">
        <v>121</v>
      </c>
      <c r="P98">
        <v>131.69999999999999</v>
      </c>
      <c r="Q98">
        <v>127.5</v>
      </c>
      <c r="R98">
        <v>129.4</v>
      </c>
      <c r="S98">
        <v>128.80000000000001</v>
      </c>
      <c r="T98">
        <v>125.5</v>
      </c>
      <c r="U98">
        <v>128.30000000000001</v>
      </c>
      <c r="V98">
        <v>123</v>
      </c>
      <c r="W98">
        <v>123</v>
      </c>
      <c r="X98">
        <v>120.8</v>
      </c>
      <c r="Y98">
        <v>114.1</v>
      </c>
      <c r="Z98">
        <v>118</v>
      </c>
      <c r="AA98">
        <v>122.9</v>
      </c>
      <c r="AB98">
        <v>112.7</v>
      </c>
      <c r="AC98">
        <v>118.1</v>
      </c>
      <c r="AD98">
        <v>124.7</v>
      </c>
      <c r="AE98">
        <f t="shared" si="20"/>
        <v>127.5</v>
      </c>
      <c r="AF98" t="str">
        <f t="shared" si="10"/>
        <v>NA</v>
      </c>
      <c r="AG98">
        <f t="shared" si="21"/>
        <v>122.9</v>
      </c>
      <c r="AH98">
        <f t="shared" si="22"/>
        <v>123</v>
      </c>
      <c r="AI98">
        <f t="shared" si="14"/>
        <v>120.8</v>
      </c>
      <c r="AJ98">
        <f t="shared" si="14"/>
        <v>114.1</v>
      </c>
      <c r="AK98">
        <f t="shared" si="24"/>
        <v>120.5</v>
      </c>
      <c r="AL98">
        <f t="shared" si="25"/>
        <v>118</v>
      </c>
      <c r="AM98">
        <f t="shared" si="26"/>
        <v>129.4</v>
      </c>
      <c r="AN98">
        <f t="shared" si="27"/>
        <v>120.55</v>
      </c>
      <c r="AO98">
        <f t="shared" si="28"/>
        <v>121.86111111111111</v>
      </c>
    </row>
    <row r="99" spans="1:41" x14ac:dyDescent="0.45">
      <c r="A99" t="s">
        <v>33</v>
      </c>
      <c r="B99">
        <v>2015</v>
      </c>
      <c r="C99" t="s">
        <v>42</v>
      </c>
      <c r="D99">
        <v>121.6</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115.1</v>
      </c>
      <c r="W99">
        <v>120.4</v>
      </c>
      <c r="X99">
        <v>117.1</v>
      </c>
      <c r="Y99">
        <v>109.1</v>
      </c>
      <c r="Z99">
        <v>117.3</v>
      </c>
      <c r="AA99">
        <v>126.5</v>
      </c>
      <c r="AB99">
        <v>112.9</v>
      </c>
      <c r="AC99">
        <v>116.2</v>
      </c>
      <c r="AD99">
        <v>123.5</v>
      </c>
      <c r="AE99">
        <f t="shared" si="20"/>
        <v>131.5</v>
      </c>
      <c r="AF99">
        <f t="shared" si="10"/>
        <v>121.6</v>
      </c>
      <c r="AG99">
        <f t="shared" si="21"/>
        <v>126.5</v>
      </c>
      <c r="AH99">
        <f t="shared" si="22"/>
        <v>115.1</v>
      </c>
      <c r="AI99">
        <f t="shared" si="14"/>
        <v>117.1</v>
      </c>
      <c r="AJ99">
        <f t="shared" si="14"/>
        <v>109.1</v>
      </c>
      <c r="AK99">
        <f t="shared" si="24"/>
        <v>118.05000000000001</v>
      </c>
      <c r="AL99">
        <f t="shared" si="25"/>
        <v>117.3</v>
      </c>
      <c r="AM99">
        <f t="shared" si="26"/>
        <v>134.69999999999999</v>
      </c>
      <c r="AN99">
        <f t="shared" si="27"/>
        <v>118.30000000000001</v>
      </c>
      <c r="AO99">
        <f t="shared" si="28"/>
        <v>120.925</v>
      </c>
    </row>
    <row r="100" spans="1:41" x14ac:dyDescent="0.45">
      <c r="A100" t="s">
        <v>34</v>
      </c>
      <c r="B100">
        <v>2015</v>
      </c>
      <c r="C100" t="s">
        <v>42</v>
      </c>
      <c r="D100">
        <v>121.6</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120.4</v>
      </c>
      <c r="W100">
        <v>122.6</v>
      </c>
      <c r="X100">
        <v>119.8</v>
      </c>
      <c r="Y100">
        <v>111.3</v>
      </c>
      <c r="Z100">
        <v>118.3</v>
      </c>
      <c r="AA100">
        <v>125.7</v>
      </c>
      <c r="AB100">
        <v>113.4</v>
      </c>
      <c r="AC100">
        <v>117.5</v>
      </c>
      <c r="AD100">
        <v>125.4</v>
      </c>
      <c r="AE100">
        <f t="shared" si="20"/>
        <v>131.19999999999999</v>
      </c>
      <c r="AF100">
        <f t="shared" si="10"/>
        <v>121.6</v>
      </c>
      <c r="AG100">
        <f t="shared" si="21"/>
        <v>125.7</v>
      </c>
      <c r="AH100">
        <f t="shared" si="22"/>
        <v>120.4</v>
      </c>
      <c r="AI100">
        <f t="shared" si="14"/>
        <v>119.8</v>
      </c>
      <c r="AJ100">
        <f t="shared" si="14"/>
        <v>111.3</v>
      </c>
      <c r="AK100">
        <f t="shared" si="24"/>
        <v>120.30000000000001</v>
      </c>
      <c r="AL100">
        <f t="shared" si="25"/>
        <v>118.3</v>
      </c>
      <c r="AM100">
        <f t="shared" si="26"/>
        <v>132</v>
      </c>
      <c r="AN100">
        <f t="shared" si="27"/>
        <v>120.05</v>
      </c>
      <c r="AO100">
        <f t="shared" si="28"/>
        <v>122.06499999999998</v>
      </c>
    </row>
    <row r="101" spans="1:41" x14ac:dyDescent="0.45">
      <c r="A101" t="s">
        <v>30</v>
      </c>
      <c r="B101">
        <v>2015</v>
      </c>
      <c r="C101" t="s">
        <v>38</v>
      </c>
      <c r="D101" t="s">
        <v>32</v>
      </c>
      <c r="E101">
        <v>123.5</v>
      </c>
      <c r="F101">
        <v>127.1</v>
      </c>
      <c r="G101">
        <v>117.3</v>
      </c>
      <c r="H101">
        <v>127.7</v>
      </c>
      <c r="I101">
        <v>112.5</v>
      </c>
      <c r="J101">
        <v>134.1</v>
      </c>
      <c r="K101">
        <v>128.5</v>
      </c>
      <c r="L101">
        <v>124.3</v>
      </c>
      <c r="M101">
        <v>97.6</v>
      </c>
      <c r="N101">
        <v>120.7</v>
      </c>
      <c r="O101">
        <v>120.2</v>
      </c>
      <c r="P101">
        <v>129.80000000000001</v>
      </c>
      <c r="Q101">
        <v>124.4</v>
      </c>
      <c r="R101">
        <v>126.7</v>
      </c>
      <c r="S101">
        <v>127.3</v>
      </c>
      <c r="T101">
        <v>124.1</v>
      </c>
      <c r="U101">
        <v>126.8</v>
      </c>
      <c r="V101">
        <v>121.9</v>
      </c>
      <c r="W101">
        <v>121.5</v>
      </c>
      <c r="X101">
        <v>119.4</v>
      </c>
      <c r="Y101">
        <v>113.3</v>
      </c>
      <c r="Z101">
        <v>116.7</v>
      </c>
      <c r="AA101">
        <v>120.5</v>
      </c>
      <c r="AB101">
        <v>112.3</v>
      </c>
      <c r="AC101">
        <v>116.9</v>
      </c>
      <c r="AD101">
        <v>122.4</v>
      </c>
      <c r="AE101">
        <f t="shared" si="20"/>
        <v>124.4</v>
      </c>
      <c r="AF101" t="str">
        <f t="shared" si="10"/>
        <v>NA</v>
      </c>
      <c r="AG101">
        <f t="shared" si="21"/>
        <v>120.5</v>
      </c>
      <c r="AH101">
        <f t="shared" si="22"/>
        <v>121.9</v>
      </c>
      <c r="AI101">
        <f t="shared" si="14"/>
        <v>119.4</v>
      </c>
      <c r="AJ101">
        <f t="shared" si="14"/>
        <v>113.3</v>
      </c>
      <c r="AK101">
        <f t="shared" si="24"/>
        <v>119.55</v>
      </c>
      <c r="AL101">
        <f t="shared" si="25"/>
        <v>116.7</v>
      </c>
      <c r="AM101">
        <f t="shared" si="26"/>
        <v>126.7</v>
      </c>
      <c r="AN101">
        <f t="shared" si="27"/>
        <v>119.2</v>
      </c>
      <c r="AO101">
        <f t="shared" si="28"/>
        <v>120.18333333333334</v>
      </c>
    </row>
    <row r="102" spans="1:41" x14ac:dyDescent="0.45">
      <c r="A102" t="s">
        <v>33</v>
      </c>
      <c r="B102">
        <v>2015</v>
      </c>
      <c r="C102" t="s">
        <v>43</v>
      </c>
      <c r="D102">
        <v>122.4</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114.9</v>
      </c>
      <c r="W102">
        <v>120.7</v>
      </c>
      <c r="X102">
        <v>117.7</v>
      </c>
      <c r="Y102">
        <v>109.3</v>
      </c>
      <c r="Z102">
        <v>117.7</v>
      </c>
      <c r="AA102">
        <v>126.5</v>
      </c>
      <c r="AB102">
        <v>113.5</v>
      </c>
      <c r="AC102">
        <v>116.5</v>
      </c>
      <c r="AD102">
        <v>124.2</v>
      </c>
      <c r="AE102">
        <f t="shared" si="20"/>
        <v>132.6</v>
      </c>
      <c r="AF102">
        <f t="shared" si="10"/>
        <v>122.4</v>
      </c>
      <c r="AG102">
        <f t="shared" si="21"/>
        <v>126.5</v>
      </c>
      <c r="AH102">
        <f t="shared" si="22"/>
        <v>114.9</v>
      </c>
      <c r="AI102">
        <f t="shared" si="14"/>
        <v>117.7</v>
      </c>
      <c r="AJ102">
        <f t="shared" si="14"/>
        <v>109.3</v>
      </c>
      <c r="AK102">
        <f t="shared" si="24"/>
        <v>118.55</v>
      </c>
      <c r="AL102">
        <f t="shared" si="25"/>
        <v>117.7</v>
      </c>
      <c r="AM102">
        <f t="shared" si="26"/>
        <v>135.30000000000001</v>
      </c>
      <c r="AN102">
        <f t="shared" si="27"/>
        <v>118.6</v>
      </c>
      <c r="AO102">
        <f t="shared" si="28"/>
        <v>121.35499999999999</v>
      </c>
    </row>
    <row r="103" spans="1:41" x14ac:dyDescent="0.45">
      <c r="A103" t="s">
        <v>34</v>
      </c>
      <c r="B103">
        <v>2015</v>
      </c>
      <c r="C103" t="s">
        <v>43</v>
      </c>
      <c r="D103">
        <v>122.4</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120.8</v>
      </c>
      <c r="W103">
        <v>123</v>
      </c>
      <c r="X103">
        <v>120.4</v>
      </c>
      <c r="Y103">
        <v>111.4</v>
      </c>
      <c r="Z103">
        <v>118.7</v>
      </c>
      <c r="AA103">
        <v>125.9</v>
      </c>
      <c r="AB103">
        <v>113.9</v>
      </c>
      <c r="AC103">
        <v>117.9</v>
      </c>
      <c r="AD103">
        <v>126.1</v>
      </c>
      <c r="AE103">
        <f t="shared" si="20"/>
        <v>132.1</v>
      </c>
      <c r="AF103">
        <f t="shared" si="10"/>
        <v>122.4</v>
      </c>
      <c r="AG103">
        <f t="shared" si="21"/>
        <v>125.9</v>
      </c>
      <c r="AH103">
        <f t="shared" si="22"/>
        <v>120.8</v>
      </c>
      <c r="AI103">
        <f t="shared" si="14"/>
        <v>120.4</v>
      </c>
      <c r="AJ103">
        <f t="shared" si="14"/>
        <v>111.4</v>
      </c>
      <c r="AK103">
        <f t="shared" si="24"/>
        <v>120.85</v>
      </c>
      <c r="AL103">
        <f t="shared" si="25"/>
        <v>118.7</v>
      </c>
      <c r="AM103">
        <f t="shared" si="26"/>
        <v>132.5</v>
      </c>
      <c r="AN103">
        <f t="shared" si="27"/>
        <v>120.45</v>
      </c>
      <c r="AO103">
        <f t="shared" si="28"/>
        <v>122.55000000000003</v>
      </c>
    </row>
    <row r="104" spans="1:41" x14ac:dyDescent="0.45">
      <c r="A104" t="s">
        <v>30</v>
      </c>
      <c r="B104">
        <v>2015</v>
      </c>
      <c r="C104" t="s">
        <v>37</v>
      </c>
      <c r="D104" t="s">
        <v>32</v>
      </c>
      <c r="E104">
        <v>123.3</v>
      </c>
      <c r="F104">
        <v>125.5</v>
      </c>
      <c r="G104">
        <v>117.2</v>
      </c>
      <c r="H104">
        <v>126.8</v>
      </c>
      <c r="I104">
        <v>111.9</v>
      </c>
      <c r="J104">
        <v>134.19999999999999</v>
      </c>
      <c r="K104">
        <v>127.5</v>
      </c>
      <c r="L104">
        <v>121.5</v>
      </c>
      <c r="M104">
        <v>97.8</v>
      </c>
      <c r="N104">
        <v>119.8</v>
      </c>
      <c r="O104">
        <v>119.4</v>
      </c>
      <c r="P104">
        <v>128.69999999999999</v>
      </c>
      <c r="Q104">
        <v>123.6</v>
      </c>
      <c r="R104">
        <v>125.7</v>
      </c>
      <c r="S104">
        <v>126.4</v>
      </c>
      <c r="T104">
        <v>123.3</v>
      </c>
      <c r="U104">
        <v>126</v>
      </c>
      <c r="V104">
        <v>121.2</v>
      </c>
      <c r="W104">
        <v>120.9</v>
      </c>
      <c r="X104">
        <v>118.6</v>
      </c>
      <c r="Y104">
        <v>111.9</v>
      </c>
      <c r="Z104">
        <v>116.2</v>
      </c>
      <c r="AA104">
        <v>119.9</v>
      </c>
      <c r="AB104">
        <v>111.6</v>
      </c>
      <c r="AC104">
        <v>116</v>
      </c>
      <c r="AD104">
        <v>121.5</v>
      </c>
      <c r="AE104">
        <f t="shared" si="20"/>
        <v>123.6</v>
      </c>
      <c r="AF104" t="str">
        <f t="shared" si="10"/>
        <v>NA</v>
      </c>
      <c r="AG104">
        <f t="shared" si="21"/>
        <v>119.9</v>
      </c>
      <c r="AH104">
        <f t="shared" si="22"/>
        <v>121.2</v>
      </c>
      <c r="AI104">
        <f t="shared" si="14"/>
        <v>118.6</v>
      </c>
      <c r="AJ104">
        <f t="shared" si="14"/>
        <v>111.9</v>
      </c>
      <c r="AK104">
        <f t="shared" si="24"/>
        <v>118.8</v>
      </c>
      <c r="AL104">
        <f t="shared" si="25"/>
        <v>116.2</v>
      </c>
      <c r="AM104">
        <f t="shared" si="26"/>
        <v>125.7</v>
      </c>
      <c r="AN104">
        <f t="shared" si="27"/>
        <v>118.45</v>
      </c>
      <c r="AO104">
        <f t="shared" si="28"/>
        <v>119.37222222222221</v>
      </c>
    </row>
    <row r="105" spans="1:41" x14ac:dyDescent="0.45">
      <c r="A105" t="s">
        <v>33</v>
      </c>
      <c r="B105">
        <v>2015</v>
      </c>
      <c r="C105" t="s">
        <v>45</v>
      </c>
      <c r="D105">
        <v>122.9</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115.1</v>
      </c>
      <c r="W105">
        <v>121</v>
      </c>
      <c r="X105">
        <v>118.1</v>
      </c>
      <c r="Y105">
        <v>109.3</v>
      </c>
      <c r="Z105">
        <v>117.9</v>
      </c>
      <c r="AA105">
        <v>126.6</v>
      </c>
      <c r="AB105">
        <v>113.3</v>
      </c>
      <c r="AC105">
        <v>116.6</v>
      </c>
      <c r="AD105">
        <v>124.6</v>
      </c>
      <c r="AE105">
        <f t="shared" si="20"/>
        <v>133.30000000000001</v>
      </c>
      <c r="AF105">
        <f t="shared" si="10"/>
        <v>122.9</v>
      </c>
      <c r="AG105">
        <f t="shared" si="21"/>
        <v>126.6</v>
      </c>
      <c r="AH105">
        <f t="shared" si="22"/>
        <v>115.1</v>
      </c>
      <c r="AI105">
        <f t="shared" si="14"/>
        <v>118.1</v>
      </c>
      <c r="AJ105">
        <f t="shared" si="14"/>
        <v>109.3</v>
      </c>
      <c r="AK105">
        <f t="shared" si="24"/>
        <v>118.75</v>
      </c>
      <c r="AL105">
        <f t="shared" si="25"/>
        <v>117.9</v>
      </c>
      <c r="AM105">
        <f t="shared" si="26"/>
        <v>137.6</v>
      </c>
      <c r="AN105">
        <f t="shared" si="27"/>
        <v>118.8</v>
      </c>
      <c r="AO105">
        <f t="shared" si="28"/>
        <v>121.83499999999999</v>
      </c>
    </row>
    <row r="106" spans="1:41" x14ac:dyDescent="0.45">
      <c r="A106" t="s">
        <v>34</v>
      </c>
      <c r="B106">
        <v>2015</v>
      </c>
      <c r="C106" t="s">
        <v>45</v>
      </c>
      <c r="D106">
        <v>122.9</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121.6</v>
      </c>
      <c r="W106">
        <v>123.4</v>
      </c>
      <c r="X106">
        <v>120.9</v>
      </c>
      <c r="Y106">
        <v>111.5</v>
      </c>
      <c r="Z106">
        <v>119.2</v>
      </c>
      <c r="AA106">
        <v>126.3</v>
      </c>
      <c r="AB106">
        <v>113.8</v>
      </c>
      <c r="AC106">
        <v>118.1</v>
      </c>
      <c r="AD106">
        <v>126.6</v>
      </c>
      <c r="AE106">
        <f t="shared" si="20"/>
        <v>132.69999999999999</v>
      </c>
      <c r="AF106">
        <f t="shared" si="10"/>
        <v>122.9</v>
      </c>
      <c r="AG106">
        <f t="shared" si="21"/>
        <v>126.3</v>
      </c>
      <c r="AH106">
        <f t="shared" si="22"/>
        <v>121.6</v>
      </c>
      <c r="AI106">
        <f t="shared" si="14"/>
        <v>120.9</v>
      </c>
      <c r="AJ106">
        <f t="shared" si="14"/>
        <v>111.5</v>
      </c>
      <c r="AK106">
        <f t="shared" si="24"/>
        <v>121.19999999999999</v>
      </c>
      <c r="AL106">
        <f t="shared" si="25"/>
        <v>119.2</v>
      </c>
      <c r="AM106">
        <f t="shared" si="26"/>
        <v>133.6</v>
      </c>
      <c r="AN106">
        <f t="shared" si="27"/>
        <v>120.75</v>
      </c>
      <c r="AO106">
        <f t="shared" si="28"/>
        <v>123.06499999999998</v>
      </c>
    </row>
    <row r="107" spans="1:41" x14ac:dyDescent="0.45">
      <c r="A107" t="s">
        <v>30</v>
      </c>
      <c r="B107">
        <v>2015</v>
      </c>
      <c r="C107" t="s">
        <v>41</v>
      </c>
      <c r="D107" t="s">
        <v>32</v>
      </c>
      <c r="E107">
        <v>124.7</v>
      </c>
      <c r="F107">
        <v>131.30000000000001</v>
      </c>
      <c r="G107">
        <v>121.3</v>
      </c>
      <c r="H107">
        <v>128.80000000000001</v>
      </c>
      <c r="I107">
        <v>114</v>
      </c>
      <c r="J107">
        <v>134.19999999999999</v>
      </c>
      <c r="K107">
        <v>153.6</v>
      </c>
      <c r="L107">
        <v>137.9</v>
      </c>
      <c r="M107">
        <v>93.1</v>
      </c>
      <c r="N107">
        <v>123.9</v>
      </c>
      <c r="O107">
        <v>121.5</v>
      </c>
      <c r="P107">
        <v>132.5</v>
      </c>
      <c r="Q107">
        <v>129.80000000000001</v>
      </c>
      <c r="R107">
        <v>130.1</v>
      </c>
      <c r="S107">
        <v>129.5</v>
      </c>
      <c r="T107">
        <v>126.3</v>
      </c>
      <c r="U107">
        <v>129</v>
      </c>
      <c r="V107">
        <v>123.8</v>
      </c>
      <c r="W107">
        <v>123.7</v>
      </c>
      <c r="X107">
        <v>121.1</v>
      </c>
      <c r="Y107">
        <v>113.6</v>
      </c>
      <c r="Z107">
        <v>118.5</v>
      </c>
      <c r="AA107">
        <v>123.6</v>
      </c>
      <c r="AB107">
        <v>112.5</v>
      </c>
      <c r="AC107">
        <v>118.2</v>
      </c>
      <c r="AD107">
        <v>126.1</v>
      </c>
      <c r="AE107">
        <f t="shared" si="20"/>
        <v>129.80000000000001</v>
      </c>
      <c r="AF107" t="str">
        <f t="shared" si="10"/>
        <v>NA</v>
      </c>
      <c r="AG107">
        <f t="shared" si="21"/>
        <v>123.6</v>
      </c>
      <c r="AH107">
        <f t="shared" si="22"/>
        <v>123.8</v>
      </c>
      <c r="AI107">
        <f t="shared" si="14"/>
        <v>121.1</v>
      </c>
      <c r="AJ107">
        <f t="shared" si="14"/>
        <v>113.6</v>
      </c>
      <c r="AK107">
        <f t="shared" si="24"/>
        <v>120.75</v>
      </c>
      <c r="AL107">
        <f t="shared" si="25"/>
        <v>118.5</v>
      </c>
      <c r="AM107">
        <f t="shared" si="26"/>
        <v>130.1</v>
      </c>
      <c r="AN107">
        <f t="shared" si="27"/>
        <v>120.95</v>
      </c>
      <c r="AO107">
        <f t="shared" si="28"/>
        <v>122.46666666666667</v>
      </c>
    </row>
    <row r="108" spans="1:41" x14ac:dyDescent="0.45">
      <c r="A108" t="s">
        <v>33</v>
      </c>
      <c r="B108">
        <v>2015</v>
      </c>
      <c r="C108" t="s">
        <v>46</v>
      </c>
      <c r="D108">
        <v>122.4</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116</v>
      </c>
      <c r="W108">
        <v>121</v>
      </c>
      <c r="X108">
        <v>118.6</v>
      </c>
      <c r="Y108">
        <v>109.3</v>
      </c>
      <c r="Z108">
        <v>118.1</v>
      </c>
      <c r="AA108">
        <v>126.6</v>
      </c>
      <c r="AB108">
        <v>113.2</v>
      </c>
      <c r="AC108">
        <v>116.7</v>
      </c>
      <c r="AD108">
        <v>124</v>
      </c>
      <c r="AE108">
        <f t="shared" si="11"/>
        <v>131.5</v>
      </c>
      <c r="AF108">
        <f t="shared" si="10"/>
        <v>122.4</v>
      </c>
      <c r="AG108">
        <f t="shared" si="12"/>
        <v>126.6</v>
      </c>
      <c r="AH108">
        <f t="shared" si="13"/>
        <v>116</v>
      </c>
      <c r="AI108">
        <f t="shared" si="14"/>
        <v>118.6</v>
      </c>
      <c r="AJ108">
        <f t="shared" si="14"/>
        <v>109.3</v>
      </c>
      <c r="AK108">
        <f t="shared" si="15"/>
        <v>118.85</v>
      </c>
      <c r="AL108">
        <f t="shared" si="16"/>
        <v>118.1</v>
      </c>
      <c r="AM108">
        <f t="shared" si="17"/>
        <v>138.19999999999999</v>
      </c>
      <c r="AN108">
        <f t="shared" si="18"/>
        <v>118.85</v>
      </c>
      <c r="AO108">
        <f t="shared" si="19"/>
        <v>121.83999999999999</v>
      </c>
    </row>
    <row r="109" spans="1:41" x14ac:dyDescent="0.45">
      <c r="A109" t="s">
        <v>34</v>
      </c>
      <c r="B109">
        <v>2015</v>
      </c>
      <c r="C109" t="s">
        <v>46</v>
      </c>
      <c r="D109">
        <v>122.4</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v>
      </c>
      <c r="W109">
        <v>123.6</v>
      </c>
      <c r="X109">
        <v>121.4</v>
      </c>
      <c r="Y109">
        <v>111.5</v>
      </c>
      <c r="Z109">
        <v>119.6</v>
      </c>
      <c r="AA109">
        <v>126.2</v>
      </c>
      <c r="AB109">
        <v>113.7</v>
      </c>
      <c r="AC109">
        <v>118.3</v>
      </c>
      <c r="AD109">
        <v>126.1</v>
      </c>
      <c r="AE109">
        <f t="shared" si="11"/>
        <v>131.4</v>
      </c>
      <c r="AF109">
        <f t="shared" si="10"/>
        <v>122.4</v>
      </c>
      <c r="AG109">
        <f t="shared" si="12"/>
        <v>126.2</v>
      </c>
      <c r="AH109">
        <f t="shared" si="13"/>
        <v>122</v>
      </c>
      <c r="AI109">
        <f t="shared" si="14"/>
        <v>121.4</v>
      </c>
      <c r="AJ109">
        <f t="shared" si="14"/>
        <v>111.5</v>
      </c>
      <c r="AK109">
        <f t="shared" si="15"/>
        <v>121.35</v>
      </c>
      <c r="AL109">
        <f t="shared" si="16"/>
        <v>119.6</v>
      </c>
      <c r="AM109">
        <f t="shared" si="17"/>
        <v>134.5</v>
      </c>
      <c r="AN109">
        <f t="shared" si="18"/>
        <v>120.94999999999999</v>
      </c>
      <c r="AO109">
        <f t="shared" si="19"/>
        <v>123.13</v>
      </c>
    </row>
    <row r="110" spans="1:41" x14ac:dyDescent="0.45">
      <c r="A110" t="s">
        <v>30</v>
      </c>
      <c r="B110">
        <v>2016</v>
      </c>
      <c r="C110" t="s">
        <v>31</v>
      </c>
      <c r="D110" t="s">
        <v>32</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v>126.2</v>
      </c>
      <c r="W110">
        <v>126.6</v>
      </c>
      <c r="X110">
        <v>123.7</v>
      </c>
      <c r="Y110">
        <v>113.6</v>
      </c>
      <c r="Z110">
        <v>121.4</v>
      </c>
      <c r="AA110">
        <v>126.2</v>
      </c>
      <c r="AB110">
        <v>114.9</v>
      </c>
      <c r="AC110">
        <v>120.1</v>
      </c>
      <c r="AD110">
        <v>128.1</v>
      </c>
      <c r="AE110">
        <f t="shared" si="11"/>
        <v>131.4</v>
      </c>
      <c r="AF110" t="str">
        <f t="shared" si="10"/>
        <v>NA</v>
      </c>
      <c r="AG110">
        <f t="shared" si="12"/>
        <v>126.2</v>
      </c>
      <c r="AH110">
        <f t="shared" si="13"/>
        <v>126.2</v>
      </c>
      <c r="AI110">
        <f t="shared" si="14"/>
        <v>123.7</v>
      </c>
      <c r="AJ110">
        <f t="shared" si="14"/>
        <v>113.6</v>
      </c>
      <c r="AK110">
        <f t="shared" si="15"/>
        <v>123.75</v>
      </c>
      <c r="AL110">
        <f t="shared" si="16"/>
        <v>121.4</v>
      </c>
      <c r="AM110">
        <f t="shared" si="17"/>
        <v>133.6</v>
      </c>
      <c r="AN110">
        <f t="shared" si="18"/>
        <v>123.35</v>
      </c>
      <c r="AO110">
        <f t="shared" si="19"/>
        <v>124.80000000000001</v>
      </c>
    </row>
    <row r="111" spans="1:41" x14ac:dyDescent="0.45">
      <c r="A111" t="s">
        <v>33</v>
      </c>
      <c r="B111">
        <v>2016</v>
      </c>
      <c r="C111" t="s">
        <v>31</v>
      </c>
      <c r="D111">
        <v>123.4</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116.9</v>
      </c>
      <c r="W111">
        <v>121.6</v>
      </c>
      <c r="X111">
        <v>119.1</v>
      </c>
      <c r="Y111">
        <v>108.9</v>
      </c>
      <c r="Z111">
        <v>118.5</v>
      </c>
      <c r="AA111">
        <v>126.4</v>
      </c>
      <c r="AB111">
        <v>114</v>
      </c>
      <c r="AC111">
        <v>116.8</v>
      </c>
      <c r="AD111">
        <v>124.2</v>
      </c>
      <c r="AE111">
        <f t="shared" si="11"/>
        <v>131.19999999999999</v>
      </c>
      <c r="AF111">
        <f t="shared" si="10"/>
        <v>123.4</v>
      </c>
      <c r="AG111">
        <f t="shared" si="12"/>
        <v>126.4</v>
      </c>
      <c r="AH111">
        <f t="shared" si="13"/>
        <v>116.9</v>
      </c>
      <c r="AI111">
        <f t="shared" si="14"/>
        <v>119.1</v>
      </c>
      <c r="AJ111">
        <f t="shared" si="14"/>
        <v>108.9</v>
      </c>
      <c r="AK111">
        <f t="shared" si="15"/>
        <v>119.45</v>
      </c>
      <c r="AL111">
        <f t="shared" si="16"/>
        <v>118.5</v>
      </c>
      <c r="AM111">
        <f t="shared" si="17"/>
        <v>139.5</v>
      </c>
      <c r="AN111">
        <f t="shared" si="18"/>
        <v>119.19999999999999</v>
      </c>
      <c r="AO111">
        <f t="shared" si="19"/>
        <v>122.255</v>
      </c>
    </row>
    <row r="112" spans="1:41" x14ac:dyDescent="0.45">
      <c r="A112" t="s">
        <v>34</v>
      </c>
      <c r="B112">
        <v>2016</v>
      </c>
      <c r="C112" t="s">
        <v>31</v>
      </c>
      <c r="D112">
        <v>123.4</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122.7</v>
      </c>
      <c r="W112">
        <v>124.2</v>
      </c>
      <c r="X112">
        <v>122</v>
      </c>
      <c r="Y112">
        <v>111.1</v>
      </c>
      <c r="Z112">
        <v>119.8</v>
      </c>
      <c r="AA112">
        <v>126.3</v>
      </c>
      <c r="AB112">
        <v>114.5</v>
      </c>
      <c r="AC112">
        <v>118.5</v>
      </c>
      <c r="AD112">
        <v>126.3</v>
      </c>
      <c r="AE112">
        <f t="shared" si="11"/>
        <v>131.30000000000001</v>
      </c>
      <c r="AF112">
        <f t="shared" si="10"/>
        <v>123.4</v>
      </c>
      <c r="AG112">
        <f t="shared" si="12"/>
        <v>126.3</v>
      </c>
      <c r="AH112">
        <f t="shared" si="13"/>
        <v>122.7</v>
      </c>
      <c r="AI112">
        <f t="shared" si="14"/>
        <v>122</v>
      </c>
      <c r="AJ112">
        <f t="shared" si="14"/>
        <v>111.1</v>
      </c>
      <c r="AK112">
        <f t="shared" si="15"/>
        <v>122</v>
      </c>
      <c r="AL112">
        <f t="shared" si="16"/>
        <v>119.8</v>
      </c>
      <c r="AM112">
        <f t="shared" si="17"/>
        <v>135.19999999999999</v>
      </c>
      <c r="AN112">
        <f t="shared" si="18"/>
        <v>121.35</v>
      </c>
      <c r="AO112">
        <f t="shared" si="19"/>
        <v>123.51499999999999</v>
      </c>
    </row>
    <row r="113" spans="1:41" x14ac:dyDescent="0.45">
      <c r="A113" t="s">
        <v>30</v>
      </c>
      <c r="B113">
        <v>2016</v>
      </c>
      <c r="C113" t="s">
        <v>35</v>
      </c>
      <c r="D113" t="s">
        <v>32</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v>127.5</v>
      </c>
      <c r="W113">
        <v>127.1</v>
      </c>
      <c r="X113">
        <v>124.3</v>
      </c>
      <c r="Y113">
        <v>113.9</v>
      </c>
      <c r="Z113">
        <v>122.3</v>
      </c>
      <c r="AA113">
        <v>127.1</v>
      </c>
      <c r="AB113">
        <v>116.8</v>
      </c>
      <c r="AC113">
        <v>120.9</v>
      </c>
      <c r="AD113">
        <v>127.9</v>
      </c>
      <c r="AE113">
        <f t="shared" si="11"/>
        <v>130.30000000000001</v>
      </c>
      <c r="AF113" t="str">
        <f t="shared" si="10"/>
        <v>NA</v>
      </c>
      <c r="AG113">
        <f t="shared" si="12"/>
        <v>127.1</v>
      </c>
      <c r="AH113">
        <f t="shared" si="13"/>
        <v>127.5</v>
      </c>
      <c r="AI113">
        <f t="shared" si="14"/>
        <v>124.3</v>
      </c>
      <c r="AJ113">
        <f t="shared" si="14"/>
        <v>113.9</v>
      </c>
      <c r="AK113">
        <f t="shared" si="15"/>
        <v>125.1</v>
      </c>
      <c r="AL113">
        <f t="shared" si="16"/>
        <v>122.3</v>
      </c>
      <c r="AM113">
        <f t="shared" si="17"/>
        <v>134.4</v>
      </c>
      <c r="AN113">
        <f t="shared" si="18"/>
        <v>124</v>
      </c>
      <c r="AO113">
        <f t="shared" si="19"/>
        <v>125.43333333333334</v>
      </c>
    </row>
    <row r="114" spans="1:41" x14ac:dyDescent="0.45">
      <c r="A114" t="s">
        <v>33</v>
      </c>
      <c r="B114">
        <v>2016</v>
      </c>
      <c r="C114" t="s">
        <v>35</v>
      </c>
      <c r="D114">
        <v>124.4</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116</v>
      </c>
      <c r="W114">
        <v>121.8</v>
      </c>
      <c r="X114">
        <v>119.5</v>
      </c>
      <c r="Y114">
        <v>109.1</v>
      </c>
      <c r="Z114">
        <v>118.8</v>
      </c>
      <c r="AA114">
        <v>126.3</v>
      </c>
      <c r="AB114">
        <v>116.2</v>
      </c>
      <c r="AC114">
        <v>117.2</v>
      </c>
      <c r="AD114">
        <v>123.8</v>
      </c>
      <c r="AE114">
        <f t="shared" si="11"/>
        <v>129.1</v>
      </c>
      <c r="AF114">
        <f t="shared" si="10"/>
        <v>124.4</v>
      </c>
      <c r="AG114">
        <f t="shared" si="12"/>
        <v>126.3</v>
      </c>
      <c r="AH114">
        <f t="shared" si="13"/>
        <v>116</v>
      </c>
      <c r="AI114">
        <f t="shared" si="14"/>
        <v>119.5</v>
      </c>
      <c r="AJ114">
        <f t="shared" si="14"/>
        <v>109.1</v>
      </c>
      <c r="AK114">
        <f t="shared" si="15"/>
        <v>120.75</v>
      </c>
      <c r="AL114">
        <f t="shared" si="16"/>
        <v>118.8</v>
      </c>
      <c r="AM114">
        <f t="shared" si="17"/>
        <v>140</v>
      </c>
      <c r="AN114">
        <f t="shared" si="18"/>
        <v>119.5</v>
      </c>
      <c r="AO114">
        <f t="shared" si="19"/>
        <v>122.34499999999998</v>
      </c>
    </row>
    <row r="115" spans="1:41" x14ac:dyDescent="0.45">
      <c r="A115" t="s">
        <v>34</v>
      </c>
      <c r="B115">
        <v>2016</v>
      </c>
      <c r="C115" t="s">
        <v>35</v>
      </c>
      <c r="D115">
        <v>124.4</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123.1</v>
      </c>
      <c r="W115">
        <v>124.6</v>
      </c>
      <c r="X115">
        <v>122.5</v>
      </c>
      <c r="Y115">
        <v>111.4</v>
      </c>
      <c r="Z115">
        <v>120.3</v>
      </c>
      <c r="AA115">
        <v>126.6</v>
      </c>
      <c r="AB115">
        <v>116.6</v>
      </c>
      <c r="AC115">
        <v>119.1</v>
      </c>
      <c r="AD115">
        <v>126</v>
      </c>
      <c r="AE115">
        <f t="shared" si="11"/>
        <v>129.9</v>
      </c>
      <c r="AF115">
        <f t="shared" si="10"/>
        <v>124.4</v>
      </c>
      <c r="AG115">
        <f t="shared" si="12"/>
        <v>126.6</v>
      </c>
      <c r="AH115">
        <f t="shared" si="13"/>
        <v>123.1</v>
      </c>
      <c r="AI115">
        <f t="shared" si="14"/>
        <v>122.5</v>
      </c>
      <c r="AJ115">
        <f t="shared" si="14"/>
        <v>111.4</v>
      </c>
      <c r="AK115">
        <f t="shared" si="15"/>
        <v>123.39999999999999</v>
      </c>
      <c r="AL115">
        <f t="shared" si="16"/>
        <v>120.3</v>
      </c>
      <c r="AM115">
        <f t="shared" si="17"/>
        <v>135.9</v>
      </c>
      <c r="AN115">
        <f t="shared" si="18"/>
        <v>121.85</v>
      </c>
      <c r="AO115">
        <f t="shared" si="19"/>
        <v>123.93499999999999</v>
      </c>
    </row>
    <row r="116" spans="1:41" x14ac:dyDescent="0.45">
      <c r="A116" t="s">
        <v>30</v>
      </c>
      <c r="B116">
        <v>2016</v>
      </c>
      <c r="C116" t="s">
        <v>36</v>
      </c>
      <c r="D116" t="s">
        <v>32</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v>127</v>
      </c>
      <c r="W116">
        <v>127.7</v>
      </c>
      <c r="X116">
        <v>124.8</v>
      </c>
      <c r="Y116">
        <v>113.6</v>
      </c>
      <c r="Z116">
        <v>122.5</v>
      </c>
      <c r="AA116">
        <v>127.5</v>
      </c>
      <c r="AB116">
        <v>117.4</v>
      </c>
      <c r="AC116">
        <v>121.1</v>
      </c>
      <c r="AD116">
        <v>128</v>
      </c>
      <c r="AE116">
        <f t="shared" si="11"/>
        <v>130.4</v>
      </c>
      <c r="AF116" t="str">
        <f t="shared" si="10"/>
        <v>NA</v>
      </c>
      <c r="AG116">
        <f t="shared" si="12"/>
        <v>127.5</v>
      </c>
      <c r="AH116">
        <f t="shared" si="13"/>
        <v>127</v>
      </c>
      <c r="AI116">
        <f t="shared" si="14"/>
        <v>124.8</v>
      </c>
      <c r="AJ116">
        <f t="shared" si="14"/>
        <v>113.6</v>
      </c>
      <c r="AK116">
        <f t="shared" si="15"/>
        <v>125.60000000000001</v>
      </c>
      <c r="AL116">
        <f t="shared" si="16"/>
        <v>122.5</v>
      </c>
      <c r="AM116">
        <f t="shared" si="17"/>
        <v>135</v>
      </c>
      <c r="AN116">
        <f t="shared" si="18"/>
        <v>124.4</v>
      </c>
      <c r="AO116">
        <f t="shared" si="19"/>
        <v>125.64444444444445</v>
      </c>
    </row>
    <row r="117" spans="1:41" x14ac:dyDescent="0.45">
      <c r="A117" t="s">
        <v>33</v>
      </c>
      <c r="B117">
        <v>2016</v>
      </c>
      <c r="C117" t="s">
        <v>36</v>
      </c>
      <c r="D117">
        <v>124.9</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114.8</v>
      </c>
      <c r="W117">
        <v>122.3</v>
      </c>
      <c r="X117">
        <v>119.7</v>
      </c>
      <c r="Y117">
        <v>108.5</v>
      </c>
      <c r="Z117">
        <v>119.1</v>
      </c>
      <c r="AA117">
        <v>126.4</v>
      </c>
      <c r="AB117">
        <v>117.1</v>
      </c>
      <c r="AC117">
        <v>117.3</v>
      </c>
      <c r="AD117">
        <v>123.8</v>
      </c>
      <c r="AE117">
        <f t="shared" si="11"/>
        <v>128.9</v>
      </c>
      <c r="AF117">
        <f t="shared" si="10"/>
        <v>124.9</v>
      </c>
      <c r="AG117">
        <f t="shared" si="12"/>
        <v>126.4</v>
      </c>
      <c r="AH117">
        <f t="shared" si="13"/>
        <v>114.8</v>
      </c>
      <c r="AI117">
        <f t="shared" si="14"/>
        <v>119.7</v>
      </c>
      <c r="AJ117">
        <f t="shared" si="14"/>
        <v>108.5</v>
      </c>
      <c r="AK117">
        <f t="shared" si="15"/>
        <v>121.3</v>
      </c>
      <c r="AL117">
        <f t="shared" si="16"/>
        <v>119.1</v>
      </c>
      <c r="AM117">
        <f t="shared" si="17"/>
        <v>140.6</v>
      </c>
      <c r="AN117">
        <f t="shared" si="18"/>
        <v>119.8</v>
      </c>
      <c r="AO117">
        <f t="shared" si="19"/>
        <v>122.4</v>
      </c>
    </row>
    <row r="118" spans="1:41" x14ac:dyDescent="0.45">
      <c r="A118" t="s">
        <v>34</v>
      </c>
      <c r="B118">
        <v>2016</v>
      </c>
      <c r="C118" t="s">
        <v>36</v>
      </c>
      <c r="D118">
        <v>124.9</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122.4</v>
      </c>
      <c r="W118">
        <v>125.1</v>
      </c>
      <c r="X118">
        <v>122.9</v>
      </c>
      <c r="Y118">
        <v>110.9</v>
      </c>
      <c r="Z118">
        <v>120.6</v>
      </c>
      <c r="AA118">
        <v>126.9</v>
      </c>
      <c r="AB118">
        <v>117.3</v>
      </c>
      <c r="AC118">
        <v>119.3</v>
      </c>
      <c r="AD118">
        <v>126</v>
      </c>
      <c r="AE118">
        <f t="shared" si="11"/>
        <v>129.80000000000001</v>
      </c>
      <c r="AF118">
        <f t="shared" si="10"/>
        <v>124.9</v>
      </c>
      <c r="AG118">
        <f t="shared" si="12"/>
        <v>126.9</v>
      </c>
      <c r="AH118">
        <f t="shared" si="13"/>
        <v>122.4</v>
      </c>
      <c r="AI118">
        <f t="shared" si="14"/>
        <v>122.9</v>
      </c>
      <c r="AJ118">
        <f t="shared" si="14"/>
        <v>110.9</v>
      </c>
      <c r="AK118">
        <f t="shared" si="15"/>
        <v>123.9</v>
      </c>
      <c r="AL118">
        <f t="shared" si="16"/>
        <v>120.6</v>
      </c>
      <c r="AM118">
        <f t="shared" si="17"/>
        <v>136.5</v>
      </c>
      <c r="AN118">
        <f t="shared" si="18"/>
        <v>122.19999999999999</v>
      </c>
      <c r="AO118">
        <f t="shared" si="19"/>
        <v>124.1</v>
      </c>
    </row>
    <row r="119" spans="1:41" x14ac:dyDescent="0.45">
      <c r="A119" t="s">
        <v>30</v>
      </c>
      <c r="B119">
        <v>2016</v>
      </c>
      <c r="C119" t="s">
        <v>37</v>
      </c>
      <c r="D119" t="s">
        <v>32</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v>127</v>
      </c>
      <c r="W119">
        <v>128</v>
      </c>
      <c r="X119">
        <v>125.2</v>
      </c>
      <c r="Y119">
        <v>114.4</v>
      </c>
      <c r="Z119">
        <v>123.2</v>
      </c>
      <c r="AA119">
        <v>127.9</v>
      </c>
      <c r="AB119">
        <v>118.4</v>
      </c>
      <c r="AC119">
        <v>121.7</v>
      </c>
      <c r="AD119">
        <v>129</v>
      </c>
      <c r="AE119">
        <f t="shared" si="11"/>
        <v>131.80000000000001</v>
      </c>
      <c r="AF119" t="str">
        <f t="shared" si="10"/>
        <v>NA</v>
      </c>
      <c r="AG119">
        <f t="shared" si="12"/>
        <v>127.9</v>
      </c>
      <c r="AH119">
        <f t="shared" si="13"/>
        <v>127</v>
      </c>
      <c r="AI119">
        <f t="shared" si="14"/>
        <v>125.2</v>
      </c>
      <c r="AJ119">
        <f t="shared" si="14"/>
        <v>114.4</v>
      </c>
      <c r="AK119">
        <f t="shared" si="15"/>
        <v>126.4</v>
      </c>
      <c r="AL119">
        <f t="shared" si="16"/>
        <v>123.2</v>
      </c>
      <c r="AM119">
        <f t="shared" si="17"/>
        <v>135.5</v>
      </c>
      <c r="AN119">
        <f t="shared" si="18"/>
        <v>124.85</v>
      </c>
      <c r="AO119">
        <f t="shared" si="19"/>
        <v>126.25</v>
      </c>
    </row>
    <row r="120" spans="1:41" x14ac:dyDescent="0.45">
      <c r="A120" t="s">
        <v>33</v>
      </c>
      <c r="B120">
        <v>2016</v>
      </c>
      <c r="C120" t="s">
        <v>37</v>
      </c>
      <c r="D120">
        <v>125.6</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114.6</v>
      </c>
      <c r="W120">
        <v>122.8</v>
      </c>
      <c r="X120">
        <v>120</v>
      </c>
      <c r="Y120">
        <v>110</v>
      </c>
      <c r="Z120">
        <v>119.5</v>
      </c>
      <c r="AA120">
        <v>127.6</v>
      </c>
      <c r="AB120">
        <v>117.6</v>
      </c>
      <c r="AC120">
        <v>118.2</v>
      </c>
      <c r="AD120">
        <v>125.3</v>
      </c>
      <c r="AE120">
        <f t="shared" si="11"/>
        <v>131.80000000000001</v>
      </c>
      <c r="AF120">
        <f t="shared" si="10"/>
        <v>125.6</v>
      </c>
      <c r="AG120">
        <f t="shared" si="12"/>
        <v>127.6</v>
      </c>
      <c r="AH120">
        <f t="shared" si="13"/>
        <v>114.6</v>
      </c>
      <c r="AI120">
        <f t="shared" si="14"/>
        <v>120</v>
      </c>
      <c r="AJ120">
        <f t="shared" si="14"/>
        <v>110</v>
      </c>
      <c r="AK120">
        <f t="shared" si="15"/>
        <v>121.69999999999999</v>
      </c>
      <c r="AL120">
        <f t="shared" si="16"/>
        <v>119.5</v>
      </c>
      <c r="AM120">
        <f t="shared" si="17"/>
        <v>141.5</v>
      </c>
      <c r="AN120">
        <f t="shared" si="18"/>
        <v>120.5</v>
      </c>
      <c r="AO120">
        <f t="shared" si="19"/>
        <v>123.28</v>
      </c>
    </row>
    <row r="121" spans="1:41" x14ac:dyDescent="0.45">
      <c r="A121" t="s">
        <v>34</v>
      </c>
      <c r="B121">
        <v>2016</v>
      </c>
      <c r="C121" t="s">
        <v>37</v>
      </c>
      <c r="D121">
        <v>125.6</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122.3</v>
      </c>
      <c r="W121">
        <v>125.5</v>
      </c>
      <c r="X121">
        <v>123.2</v>
      </c>
      <c r="Y121">
        <v>112.1</v>
      </c>
      <c r="Z121">
        <v>121.1</v>
      </c>
      <c r="AA121">
        <v>127.7</v>
      </c>
      <c r="AB121">
        <v>118.1</v>
      </c>
      <c r="AC121">
        <v>120</v>
      </c>
      <c r="AD121">
        <v>127.3</v>
      </c>
      <c r="AE121">
        <f t="shared" si="11"/>
        <v>131.80000000000001</v>
      </c>
      <c r="AF121">
        <f t="shared" si="10"/>
        <v>125.6</v>
      </c>
      <c r="AG121">
        <f t="shared" si="12"/>
        <v>127.7</v>
      </c>
      <c r="AH121">
        <f t="shared" si="13"/>
        <v>122.3</v>
      </c>
      <c r="AI121">
        <f t="shared" si="14"/>
        <v>123.2</v>
      </c>
      <c r="AJ121">
        <f t="shared" si="14"/>
        <v>112.1</v>
      </c>
      <c r="AK121">
        <f t="shared" si="15"/>
        <v>124.55</v>
      </c>
      <c r="AL121">
        <f t="shared" si="16"/>
        <v>121.1</v>
      </c>
      <c r="AM121">
        <f t="shared" si="17"/>
        <v>137.1</v>
      </c>
      <c r="AN121">
        <f t="shared" si="18"/>
        <v>122.75</v>
      </c>
      <c r="AO121">
        <f t="shared" si="19"/>
        <v>124.82000000000001</v>
      </c>
    </row>
    <row r="122" spans="1:41" x14ac:dyDescent="0.45">
      <c r="A122" t="s">
        <v>30</v>
      </c>
      <c r="B122">
        <v>2016</v>
      </c>
      <c r="C122" t="s">
        <v>38</v>
      </c>
      <c r="D122" t="s">
        <v>32</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v>127.4</v>
      </c>
      <c r="W122">
        <v>128.5</v>
      </c>
      <c r="X122">
        <v>125.8</v>
      </c>
      <c r="Y122">
        <v>115.1</v>
      </c>
      <c r="Z122">
        <v>123.6</v>
      </c>
      <c r="AA122">
        <v>129.1</v>
      </c>
      <c r="AB122">
        <v>119.7</v>
      </c>
      <c r="AC122">
        <v>122.5</v>
      </c>
      <c r="AD122">
        <v>130.30000000000001</v>
      </c>
      <c r="AE122">
        <f t="shared" si="11"/>
        <v>133.6</v>
      </c>
      <c r="AF122" t="str">
        <f t="shared" si="10"/>
        <v>NA</v>
      </c>
      <c r="AG122">
        <f t="shared" si="12"/>
        <v>129.1</v>
      </c>
      <c r="AH122">
        <f t="shared" si="13"/>
        <v>127.4</v>
      </c>
      <c r="AI122">
        <f t="shared" si="14"/>
        <v>125.8</v>
      </c>
      <c r="AJ122">
        <f t="shared" si="14"/>
        <v>115.1</v>
      </c>
      <c r="AK122">
        <f t="shared" si="15"/>
        <v>127.25</v>
      </c>
      <c r="AL122">
        <f t="shared" si="16"/>
        <v>123.6</v>
      </c>
      <c r="AM122">
        <f t="shared" si="17"/>
        <v>136</v>
      </c>
      <c r="AN122">
        <f t="shared" si="18"/>
        <v>125.5</v>
      </c>
      <c r="AO122">
        <f t="shared" si="19"/>
        <v>127.03888888888888</v>
      </c>
    </row>
    <row r="123" spans="1:41" x14ac:dyDescent="0.45">
      <c r="A123" t="s">
        <v>33</v>
      </c>
      <c r="B123">
        <v>2016</v>
      </c>
      <c r="C123" t="s">
        <v>38</v>
      </c>
      <c r="D123">
        <v>126</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115</v>
      </c>
      <c r="W123">
        <v>123.2</v>
      </c>
      <c r="X123">
        <v>120.3</v>
      </c>
      <c r="Y123">
        <v>110.7</v>
      </c>
      <c r="Z123">
        <v>119.8</v>
      </c>
      <c r="AA123">
        <v>128</v>
      </c>
      <c r="AB123">
        <v>118.5</v>
      </c>
      <c r="AC123">
        <v>118.7</v>
      </c>
      <c r="AD123">
        <v>126.6</v>
      </c>
      <c r="AE123">
        <f t="shared" si="11"/>
        <v>134.6</v>
      </c>
      <c r="AF123">
        <f t="shared" si="10"/>
        <v>126</v>
      </c>
      <c r="AG123">
        <f t="shared" si="12"/>
        <v>128</v>
      </c>
      <c r="AH123">
        <f t="shared" si="13"/>
        <v>115</v>
      </c>
      <c r="AI123">
        <f t="shared" si="14"/>
        <v>120.3</v>
      </c>
      <c r="AJ123">
        <f t="shared" si="14"/>
        <v>110.7</v>
      </c>
      <c r="AK123">
        <f t="shared" si="15"/>
        <v>122.35</v>
      </c>
      <c r="AL123">
        <f t="shared" si="16"/>
        <v>119.8</v>
      </c>
      <c r="AM123">
        <f t="shared" si="17"/>
        <v>142.19999999999999</v>
      </c>
      <c r="AN123">
        <f t="shared" si="18"/>
        <v>120.95</v>
      </c>
      <c r="AO123">
        <f t="shared" si="19"/>
        <v>123.99000000000001</v>
      </c>
    </row>
    <row r="124" spans="1:41" x14ac:dyDescent="0.45">
      <c r="A124" t="s">
        <v>34</v>
      </c>
      <c r="B124">
        <v>2016</v>
      </c>
      <c r="C124" t="s">
        <v>38</v>
      </c>
      <c r="D124">
        <v>126</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122.7</v>
      </c>
      <c r="W124">
        <v>126</v>
      </c>
      <c r="X124">
        <v>123.7</v>
      </c>
      <c r="Y124">
        <v>112.8</v>
      </c>
      <c r="Z124">
        <v>121.5</v>
      </c>
      <c r="AA124">
        <v>128.5</v>
      </c>
      <c r="AB124">
        <v>119.2</v>
      </c>
      <c r="AC124">
        <v>120.7</v>
      </c>
      <c r="AD124">
        <v>128.6</v>
      </c>
      <c r="AE124">
        <f t="shared" si="11"/>
        <v>134</v>
      </c>
      <c r="AF124">
        <f t="shared" si="10"/>
        <v>126</v>
      </c>
      <c r="AG124">
        <f t="shared" si="12"/>
        <v>128.5</v>
      </c>
      <c r="AH124">
        <f t="shared" si="13"/>
        <v>122.7</v>
      </c>
      <c r="AI124">
        <f t="shared" si="14"/>
        <v>123.7</v>
      </c>
      <c r="AJ124">
        <f t="shared" si="14"/>
        <v>112.8</v>
      </c>
      <c r="AK124">
        <f t="shared" si="15"/>
        <v>125.30000000000001</v>
      </c>
      <c r="AL124">
        <f t="shared" si="16"/>
        <v>121.5</v>
      </c>
      <c r="AM124">
        <f t="shared" si="17"/>
        <v>137.69999999999999</v>
      </c>
      <c r="AN124">
        <f t="shared" si="18"/>
        <v>123.35</v>
      </c>
      <c r="AO124">
        <f t="shared" si="19"/>
        <v>125.55499999999999</v>
      </c>
    </row>
    <row r="125" spans="1:41" x14ac:dyDescent="0.45">
      <c r="A125" t="s">
        <v>30</v>
      </c>
      <c r="B125">
        <v>2016</v>
      </c>
      <c r="C125" t="s">
        <v>39</v>
      </c>
      <c r="D125" t="s">
        <v>32</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v>128</v>
      </c>
      <c r="W125">
        <v>129.30000000000001</v>
      </c>
      <c r="X125">
        <v>126.2</v>
      </c>
      <c r="Y125">
        <v>116.3</v>
      </c>
      <c r="Z125">
        <v>124.1</v>
      </c>
      <c r="AA125">
        <v>130.19999999999999</v>
      </c>
      <c r="AB125">
        <v>119.9</v>
      </c>
      <c r="AC125">
        <v>123.3</v>
      </c>
      <c r="AD125">
        <v>131.9</v>
      </c>
      <c r="AE125">
        <f t="shared" si="11"/>
        <v>136</v>
      </c>
      <c r="AF125" t="str">
        <f t="shared" si="10"/>
        <v>NA</v>
      </c>
      <c r="AG125">
        <f t="shared" si="12"/>
        <v>130.19999999999999</v>
      </c>
      <c r="AH125">
        <f t="shared" si="13"/>
        <v>128</v>
      </c>
      <c r="AI125">
        <f t="shared" si="14"/>
        <v>126.2</v>
      </c>
      <c r="AJ125">
        <f t="shared" si="14"/>
        <v>116.3</v>
      </c>
      <c r="AK125">
        <f t="shared" si="15"/>
        <v>127.75</v>
      </c>
      <c r="AL125">
        <f t="shared" si="16"/>
        <v>124.1</v>
      </c>
      <c r="AM125">
        <f t="shared" si="17"/>
        <v>137.19999999999999</v>
      </c>
      <c r="AN125">
        <f t="shared" si="18"/>
        <v>126.30000000000001</v>
      </c>
      <c r="AO125">
        <f t="shared" si="19"/>
        <v>128.00555555555556</v>
      </c>
    </row>
    <row r="126" spans="1:41" x14ac:dyDescent="0.45">
      <c r="A126" t="s">
        <v>33</v>
      </c>
      <c r="B126">
        <v>2016</v>
      </c>
      <c r="C126" t="s">
        <v>39</v>
      </c>
      <c r="D126">
        <v>125.5</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115.5</v>
      </c>
      <c r="W126">
        <v>123.2</v>
      </c>
      <c r="X126">
        <v>120.6</v>
      </c>
      <c r="Y126">
        <v>112.3</v>
      </c>
      <c r="Z126">
        <v>119.9</v>
      </c>
      <c r="AA126">
        <v>129.30000000000001</v>
      </c>
      <c r="AB126">
        <v>118.8</v>
      </c>
      <c r="AC126">
        <v>119.6</v>
      </c>
      <c r="AD126">
        <v>128.1</v>
      </c>
      <c r="AE126">
        <f t="shared" si="11"/>
        <v>138.19999999999999</v>
      </c>
      <c r="AF126">
        <f t="shared" si="10"/>
        <v>125.5</v>
      </c>
      <c r="AG126">
        <f t="shared" si="12"/>
        <v>129.30000000000001</v>
      </c>
      <c r="AH126">
        <f t="shared" si="13"/>
        <v>115.5</v>
      </c>
      <c r="AI126">
        <f t="shared" si="14"/>
        <v>120.6</v>
      </c>
      <c r="AJ126">
        <f t="shared" si="14"/>
        <v>112.3</v>
      </c>
      <c r="AK126">
        <f t="shared" si="15"/>
        <v>122.69999999999999</v>
      </c>
      <c r="AL126">
        <f t="shared" si="16"/>
        <v>119.9</v>
      </c>
      <c r="AM126">
        <f t="shared" si="17"/>
        <v>142.69999999999999</v>
      </c>
      <c r="AN126">
        <f t="shared" si="18"/>
        <v>121.4</v>
      </c>
      <c r="AO126">
        <f t="shared" si="19"/>
        <v>124.80999999999999</v>
      </c>
    </row>
    <row r="127" spans="1:41" x14ac:dyDescent="0.45">
      <c r="A127" t="s">
        <v>34</v>
      </c>
      <c r="B127">
        <v>2016</v>
      </c>
      <c r="C127" t="s">
        <v>39</v>
      </c>
      <c r="D127">
        <v>125.5</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123.3</v>
      </c>
      <c r="W127">
        <v>126.4</v>
      </c>
      <c r="X127">
        <v>124.1</v>
      </c>
      <c r="Y127">
        <v>114.2</v>
      </c>
      <c r="Z127">
        <v>121.7</v>
      </c>
      <c r="AA127">
        <v>129.69999999999999</v>
      </c>
      <c r="AB127">
        <v>119.4</v>
      </c>
      <c r="AC127">
        <v>121.5</v>
      </c>
      <c r="AD127">
        <v>130.1</v>
      </c>
      <c r="AE127">
        <f t="shared" si="11"/>
        <v>136.80000000000001</v>
      </c>
      <c r="AF127">
        <f t="shared" si="10"/>
        <v>125.5</v>
      </c>
      <c r="AG127">
        <f t="shared" si="12"/>
        <v>129.69999999999999</v>
      </c>
      <c r="AH127">
        <f t="shared" si="13"/>
        <v>123.3</v>
      </c>
      <c r="AI127">
        <f t="shared" si="14"/>
        <v>124.1</v>
      </c>
      <c r="AJ127">
        <f t="shared" si="14"/>
        <v>114.2</v>
      </c>
      <c r="AK127">
        <f t="shared" si="15"/>
        <v>125.7</v>
      </c>
      <c r="AL127">
        <f t="shared" si="16"/>
        <v>121.7</v>
      </c>
      <c r="AM127">
        <f t="shared" si="17"/>
        <v>138.69999999999999</v>
      </c>
      <c r="AN127">
        <f t="shared" si="18"/>
        <v>123.95</v>
      </c>
      <c r="AO127">
        <f t="shared" si="19"/>
        <v>126.36500000000001</v>
      </c>
    </row>
    <row r="128" spans="1:41" x14ac:dyDescent="0.45">
      <c r="A128" t="s">
        <v>30</v>
      </c>
      <c r="B128">
        <v>2016</v>
      </c>
      <c r="C128" t="s">
        <v>40</v>
      </c>
      <c r="D128" t="s">
        <v>32</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v>128.19999999999999</v>
      </c>
      <c r="W128">
        <v>130</v>
      </c>
      <c r="X128">
        <v>126.7</v>
      </c>
      <c r="Y128">
        <v>116.4</v>
      </c>
      <c r="Z128">
        <v>125.2</v>
      </c>
      <c r="AA128">
        <v>130.80000000000001</v>
      </c>
      <c r="AB128">
        <v>120.9</v>
      </c>
      <c r="AC128">
        <v>123.8</v>
      </c>
      <c r="AD128">
        <v>133</v>
      </c>
      <c r="AE128">
        <f t="shared" si="11"/>
        <v>137.6</v>
      </c>
      <c r="AF128" t="str">
        <f t="shared" si="10"/>
        <v>NA</v>
      </c>
      <c r="AG128">
        <f t="shared" si="12"/>
        <v>130.80000000000001</v>
      </c>
      <c r="AH128">
        <f t="shared" si="13"/>
        <v>128.19999999999999</v>
      </c>
      <c r="AI128">
        <f t="shared" si="14"/>
        <v>126.7</v>
      </c>
      <c r="AJ128">
        <f t="shared" si="14"/>
        <v>116.4</v>
      </c>
      <c r="AK128">
        <f t="shared" si="15"/>
        <v>128.69999999999999</v>
      </c>
      <c r="AL128">
        <f t="shared" si="16"/>
        <v>125.2</v>
      </c>
      <c r="AM128">
        <f t="shared" si="17"/>
        <v>138</v>
      </c>
      <c r="AN128">
        <f t="shared" si="18"/>
        <v>126.9</v>
      </c>
      <c r="AO128">
        <f t="shared" si="19"/>
        <v>128.72222222222223</v>
      </c>
    </row>
    <row r="129" spans="1:41" x14ac:dyDescent="0.45">
      <c r="A129" t="s">
        <v>33</v>
      </c>
      <c r="B129">
        <v>2016</v>
      </c>
      <c r="C129" t="s">
        <v>40</v>
      </c>
      <c r="D129">
        <v>126.4</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115.5</v>
      </c>
      <c r="W129">
        <v>123.5</v>
      </c>
      <c r="X129">
        <v>120.9</v>
      </c>
      <c r="Y129">
        <v>111.7</v>
      </c>
      <c r="Z129">
        <v>120.3</v>
      </c>
      <c r="AA129">
        <v>130.80000000000001</v>
      </c>
      <c r="AB129">
        <v>120</v>
      </c>
      <c r="AC129">
        <v>119.9</v>
      </c>
      <c r="AD129">
        <v>129</v>
      </c>
      <c r="AE129">
        <f t="shared" si="11"/>
        <v>139.80000000000001</v>
      </c>
      <c r="AF129">
        <f t="shared" si="10"/>
        <v>126.4</v>
      </c>
      <c r="AG129">
        <f t="shared" si="12"/>
        <v>130.80000000000001</v>
      </c>
      <c r="AH129">
        <f t="shared" si="13"/>
        <v>115.5</v>
      </c>
      <c r="AI129">
        <f t="shared" si="14"/>
        <v>120.9</v>
      </c>
      <c r="AJ129">
        <f t="shared" si="14"/>
        <v>111.7</v>
      </c>
      <c r="AK129">
        <f t="shared" si="15"/>
        <v>123.45</v>
      </c>
      <c r="AL129">
        <f t="shared" si="16"/>
        <v>120.3</v>
      </c>
      <c r="AM129">
        <f t="shared" si="17"/>
        <v>142.9</v>
      </c>
      <c r="AN129">
        <f t="shared" si="18"/>
        <v>121.7</v>
      </c>
      <c r="AO129">
        <f t="shared" si="19"/>
        <v>125.345</v>
      </c>
    </row>
    <row r="130" spans="1:41" x14ac:dyDescent="0.45">
      <c r="A130" t="s">
        <v>34</v>
      </c>
      <c r="B130">
        <v>2016</v>
      </c>
      <c r="C130" t="s">
        <v>40</v>
      </c>
      <c r="D130">
        <v>126.4</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123.4</v>
      </c>
      <c r="W130">
        <v>126.9</v>
      </c>
      <c r="X130">
        <v>124.5</v>
      </c>
      <c r="Y130">
        <v>113.9</v>
      </c>
      <c r="Z130">
        <v>122.4</v>
      </c>
      <c r="AA130">
        <v>130.80000000000001</v>
      </c>
      <c r="AB130">
        <v>120.5</v>
      </c>
      <c r="AC130">
        <v>121.9</v>
      </c>
      <c r="AD130">
        <v>131.1</v>
      </c>
      <c r="AE130">
        <f t="shared" si="11"/>
        <v>138.4</v>
      </c>
      <c r="AF130">
        <f t="shared" ref="AF130:AF193" si="29">D130</f>
        <v>126.4</v>
      </c>
      <c r="AG130">
        <f t="shared" si="12"/>
        <v>130.80000000000001</v>
      </c>
      <c r="AH130">
        <f t="shared" si="13"/>
        <v>123.4</v>
      </c>
      <c r="AI130">
        <f t="shared" si="14"/>
        <v>124.5</v>
      </c>
      <c r="AJ130">
        <f t="shared" si="14"/>
        <v>113.9</v>
      </c>
      <c r="AK130">
        <f t="shared" si="15"/>
        <v>126.6</v>
      </c>
      <c r="AL130">
        <f t="shared" si="16"/>
        <v>122.4</v>
      </c>
      <c r="AM130">
        <f t="shared" si="17"/>
        <v>139.30000000000001</v>
      </c>
      <c r="AN130">
        <f t="shared" si="18"/>
        <v>124.4</v>
      </c>
      <c r="AO130">
        <f t="shared" si="19"/>
        <v>127.01000000000002</v>
      </c>
    </row>
    <row r="131" spans="1:41" x14ac:dyDescent="0.45">
      <c r="A131" t="s">
        <v>30</v>
      </c>
      <c r="B131">
        <v>2016</v>
      </c>
      <c r="C131" t="s">
        <v>41</v>
      </c>
      <c r="D131" t="s">
        <v>32</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v>129.1</v>
      </c>
      <c r="W131">
        <v>130.6</v>
      </c>
      <c r="X131">
        <v>127</v>
      </c>
      <c r="Y131">
        <v>116</v>
      </c>
      <c r="Z131">
        <v>125.5</v>
      </c>
      <c r="AA131">
        <v>131.9</v>
      </c>
      <c r="AB131">
        <v>122</v>
      </c>
      <c r="AC131">
        <v>124.2</v>
      </c>
      <c r="AD131">
        <v>133.5</v>
      </c>
      <c r="AE131">
        <f t="shared" ref="AE131:AE194" si="30">Q131</f>
        <v>138</v>
      </c>
      <c r="AF131" t="str">
        <f t="shared" si="29"/>
        <v>NA</v>
      </c>
      <c r="AG131">
        <f t="shared" ref="AG131:AG194" si="31">AA131</f>
        <v>131.9</v>
      </c>
      <c r="AH131">
        <f t="shared" ref="AH131:AH194" si="32">V131</f>
        <v>129.1</v>
      </c>
      <c r="AI131">
        <f t="shared" ref="AI131:AJ194" si="33">X131</f>
        <v>127</v>
      </c>
      <c r="AJ131">
        <f t="shared" si="33"/>
        <v>116</v>
      </c>
      <c r="AK131">
        <f t="shared" ref="AK131:AK194" si="34">AVERAGE(U131,AB131)</f>
        <v>129.55000000000001</v>
      </c>
      <c r="AL131">
        <f t="shared" ref="AL131:AL194" si="35">Z131</f>
        <v>125.5</v>
      </c>
      <c r="AM131">
        <f t="shared" ref="AM131:AM194" si="36">R131</f>
        <v>138.9</v>
      </c>
      <c r="AN131">
        <f t="shared" ref="AN131:AN194" si="37">AVERAGE(W131,AC131)</f>
        <v>127.4</v>
      </c>
      <c r="AO131">
        <f t="shared" ref="AO131:AO194" si="38">AVERAGE(AE131:AN131)</f>
        <v>129.26111111111112</v>
      </c>
    </row>
    <row r="132" spans="1:41" x14ac:dyDescent="0.45">
      <c r="A132" t="s">
        <v>33</v>
      </c>
      <c r="B132">
        <v>2016</v>
      </c>
      <c r="C132" t="s">
        <v>41</v>
      </c>
      <c r="D132">
        <v>127.3</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114.7</v>
      </c>
      <c r="W132">
        <v>123.9</v>
      </c>
      <c r="X132">
        <v>121.2</v>
      </c>
      <c r="Y132">
        <v>110.4</v>
      </c>
      <c r="Z132">
        <v>120.6</v>
      </c>
      <c r="AA132">
        <v>131.5</v>
      </c>
      <c r="AB132">
        <v>120.9</v>
      </c>
      <c r="AC132">
        <v>119.9</v>
      </c>
      <c r="AD132">
        <v>128.4</v>
      </c>
      <c r="AE132">
        <f t="shared" si="30"/>
        <v>137.6</v>
      </c>
      <c r="AF132">
        <f t="shared" si="29"/>
        <v>127.3</v>
      </c>
      <c r="AG132">
        <f t="shared" si="31"/>
        <v>131.5</v>
      </c>
      <c r="AH132">
        <f t="shared" si="32"/>
        <v>114.7</v>
      </c>
      <c r="AI132">
        <f t="shared" si="33"/>
        <v>121.2</v>
      </c>
      <c r="AJ132">
        <f t="shared" si="33"/>
        <v>110.4</v>
      </c>
      <c r="AK132">
        <f t="shared" si="34"/>
        <v>124.1</v>
      </c>
      <c r="AL132">
        <f t="shared" si="35"/>
        <v>120.6</v>
      </c>
      <c r="AM132">
        <f t="shared" si="36"/>
        <v>143.6</v>
      </c>
      <c r="AN132">
        <f t="shared" si="37"/>
        <v>121.9</v>
      </c>
      <c r="AO132">
        <f t="shared" si="38"/>
        <v>125.29</v>
      </c>
    </row>
    <row r="133" spans="1:41" x14ac:dyDescent="0.45">
      <c r="A133" t="s">
        <v>34</v>
      </c>
      <c r="B133">
        <v>2016</v>
      </c>
      <c r="C133" t="s">
        <v>41</v>
      </c>
      <c r="D133">
        <v>127.3</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123.6</v>
      </c>
      <c r="W133">
        <v>127.4</v>
      </c>
      <c r="X133">
        <v>124.8</v>
      </c>
      <c r="Y133">
        <v>113.1</v>
      </c>
      <c r="Z133">
        <v>122.7</v>
      </c>
      <c r="AA133">
        <v>131.69999999999999</v>
      </c>
      <c r="AB133">
        <v>121.5</v>
      </c>
      <c r="AC133">
        <v>122.1</v>
      </c>
      <c r="AD133">
        <v>131.1</v>
      </c>
      <c r="AE133">
        <f t="shared" si="30"/>
        <v>137.9</v>
      </c>
      <c r="AF133">
        <f t="shared" si="29"/>
        <v>127.3</v>
      </c>
      <c r="AG133">
        <f t="shared" si="31"/>
        <v>131.69999999999999</v>
      </c>
      <c r="AH133">
        <f t="shared" si="32"/>
        <v>123.6</v>
      </c>
      <c r="AI133">
        <f t="shared" si="33"/>
        <v>124.8</v>
      </c>
      <c r="AJ133">
        <f t="shared" si="33"/>
        <v>113.1</v>
      </c>
      <c r="AK133">
        <f t="shared" si="34"/>
        <v>127.35</v>
      </c>
      <c r="AL133">
        <f t="shared" si="35"/>
        <v>122.7</v>
      </c>
      <c r="AM133">
        <f t="shared" si="36"/>
        <v>140.19999999999999</v>
      </c>
      <c r="AN133">
        <f t="shared" si="37"/>
        <v>124.75</v>
      </c>
      <c r="AO133">
        <f t="shared" si="38"/>
        <v>127.34</v>
      </c>
    </row>
    <row r="134" spans="1:41" x14ac:dyDescent="0.45">
      <c r="A134" t="s">
        <v>30</v>
      </c>
      <c r="B134">
        <v>2016</v>
      </c>
      <c r="C134" t="s">
        <v>42</v>
      </c>
      <c r="D134" t="s">
        <v>32</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v>129.69999999999999</v>
      </c>
      <c r="W134">
        <v>131.1</v>
      </c>
      <c r="X134">
        <v>127.8</v>
      </c>
      <c r="Y134">
        <v>117</v>
      </c>
      <c r="Z134">
        <v>125.7</v>
      </c>
      <c r="AA134">
        <v>132.19999999999999</v>
      </c>
      <c r="AB134">
        <v>122.8</v>
      </c>
      <c r="AC134">
        <v>124.9</v>
      </c>
      <c r="AD134">
        <v>133.4</v>
      </c>
      <c r="AE134">
        <f t="shared" si="30"/>
        <v>137.19999999999999</v>
      </c>
      <c r="AF134" t="str">
        <f t="shared" si="29"/>
        <v>NA</v>
      </c>
      <c r="AG134">
        <f t="shared" si="31"/>
        <v>132.19999999999999</v>
      </c>
      <c r="AH134">
        <f t="shared" si="32"/>
        <v>129.69999999999999</v>
      </c>
      <c r="AI134">
        <f t="shared" si="33"/>
        <v>127.8</v>
      </c>
      <c r="AJ134">
        <f t="shared" si="33"/>
        <v>117</v>
      </c>
      <c r="AK134">
        <f t="shared" si="34"/>
        <v>130.30000000000001</v>
      </c>
      <c r="AL134">
        <f t="shared" si="35"/>
        <v>125.7</v>
      </c>
      <c r="AM134">
        <f t="shared" si="36"/>
        <v>139.9</v>
      </c>
      <c r="AN134">
        <f t="shared" si="37"/>
        <v>128</v>
      </c>
      <c r="AO134">
        <f t="shared" si="38"/>
        <v>129.75555555555559</v>
      </c>
    </row>
    <row r="135" spans="1:41" x14ac:dyDescent="0.45">
      <c r="A135" t="s">
        <v>33</v>
      </c>
      <c r="B135">
        <v>2016</v>
      </c>
      <c r="C135" t="s">
        <v>42</v>
      </c>
      <c r="D135">
        <v>127.9</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114.8</v>
      </c>
      <c r="W135">
        <v>124.3</v>
      </c>
      <c r="X135">
        <v>121.4</v>
      </c>
      <c r="Y135">
        <v>111.8</v>
      </c>
      <c r="Z135">
        <v>120.8</v>
      </c>
      <c r="AA135">
        <v>131.6</v>
      </c>
      <c r="AB135">
        <v>121.2</v>
      </c>
      <c r="AC135">
        <v>120.5</v>
      </c>
      <c r="AD135">
        <v>128</v>
      </c>
      <c r="AE135">
        <f t="shared" si="30"/>
        <v>135.69999999999999</v>
      </c>
      <c r="AF135">
        <f t="shared" si="29"/>
        <v>127.9</v>
      </c>
      <c r="AG135">
        <f t="shared" si="31"/>
        <v>131.6</v>
      </c>
      <c r="AH135">
        <f t="shared" si="32"/>
        <v>114.8</v>
      </c>
      <c r="AI135">
        <f t="shared" si="33"/>
        <v>121.4</v>
      </c>
      <c r="AJ135">
        <f t="shared" si="33"/>
        <v>111.8</v>
      </c>
      <c r="AK135">
        <f t="shared" si="34"/>
        <v>124.45</v>
      </c>
      <c r="AL135">
        <f t="shared" si="35"/>
        <v>120.8</v>
      </c>
      <c r="AM135">
        <f t="shared" si="36"/>
        <v>143.9</v>
      </c>
      <c r="AN135">
        <f t="shared" si="37"/>
        <v>122.4</v>
      </c>
      <c r="AO135">
        <f t="shared" si="38"/>
        <v>125.47500000000002</v>
      </c>
    </row>
    <row r="136" spans="1:41" x14ac:dyDescent="0.45">
      <c r="A136" t="s">
        <v>34</v>
      </c>
      <c r="B136">
        <v>2016</v>
      </c>
      <c r="C136" t="s">
        <v>42</v>
      </c>
      <c r="D136">
        <v>127.9</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124.1</v>
      </c>
      <c r="W136">
        <v>127.9</v>
      </c>
      <c r="X136">
        <v>125.4</v>
      </c>
      <c r="Y136">
        <v>114.3</v>
      </c>
      <c r="Z136">
        <v>122.9</v>
      </c>
      <c r="AA136">
        <v>131.80000000000001</v>
      </c>
      <c r="AB136">
        <v>122.1</v>
      </c>
      <c r="AC136">
        <v>122.8</v>
      </c>
      <c r="AD136">
        <v>130.9</v>
      </c>
      <c r="AE136">
        <f t="shared" si="30"/>
        <v>136.6</v>
      </c>
      <c r="AF136">
        <f t="shared" si="29"/>
        <v>127.9</v>
      </c>
      <c r="AG136">
        <f t="shared" si="31"/>
        <v>131.80000000000001</v>
      </c>
      <c r="AH136">
        <f t="shared" si="32"/>
        <v>124.1</v>
      </c>
      <c r="AI136">
        <f t="shared" si="33"/>
        <v>125.4</v>
      </c>
      <c r="AJ136">
        <f t="shared" si="33"/>
        <v>114.3</v>
      </c>
      <c r="AK136">
        <f t="shared" si="34"/>
        <v>127.95</v>
      </c>
      <c r="AL136">
        <f t="shared" si="35"/>
        <v>122.9</v>
      </c>
      <c r="AM136">
        <f t="shared" si="36"/>
        <v>141</v>
      </c>
      <c r="AN136">
        <f t="shared" si="37"/>
        <v>125.35</v>
      </c>
      <c r="AO136">
        <f t="shared" si="38"/>
        <v>127.72999999999998</v>
      </c>
    </row>
    <row r="137" spans="1:41" x14ac:dyDescent="0.45">
      <c r="A137" t="s">
        <v>30</v>
      </c>
      <c r="B137">
        <v>2016</v>
      </c>
      <c r="C137" t="s">
        <v>43</v>
      </c>
      <c r="D137" t="s">
        <v>32</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v>129.80000000000001</v>
      </c>
      <c r="W137">
        <v>131.80000000000001</v>
      </c>
      <c r="X137">
        <v>128.69999999999999</v>
      </c>
      <c r="Y137">
        <v>117.8</v>
      </c>
      <c r="Z137">
        <v>126.5</v>
      </c>
      <c r="AA137">
        <v>133</v>
      </c>
      <c r="AB137">
        <v>123</v>
      </c>
      <c r="AC137">
        <v>125.7</v>
      </c>
      <c r="AD137">
        <v>133.80000000000001</v>
      </c>
      <c r="AE137">
        <f t="shared" si="30"/>
        <v>137.4</v>
      </c>
      <c r="AF137" t="str">
        <f t="shared" si="29"/>
        <v>NA</v>
      </c>
      <c r="AG137">
        <f t="shared" si="31"/>
        <v>133</v>
      </c>
      <c r="AH137">
        <f t="shared" si="32"/>
        <v>129.80000000000001</v>
      </c>
      <c r="AI137">
        <f t="shared" si="33"/>
        <v>128.69999999999999</v>
      </c>
      <c r="AJ137">
        <f t="shared" si="33"/>
        <v>117.8</v>
      </c>
      <c r="AK137">
        <f t="shared" si="34"/>
        <v>130.9</v>
      </c>
      <c r="AL137">
        <f t="shared" si="35"/>
        <v>126.5</v>
      </c>
      <c r="AM137">
        <f t="shared" si="36"/>
        <v>140.9</v>
      </c>
      <c r="AN137">
        <f t="shared" si="37"/>
        <v>128.75</v>
      </c>
      <c r="AO137">
        <f t="shared" si="38"/>
        <v>130.41666666666666</v>
      </c>
    </row>
    <row r="138" spans="1:41" x14ac:dyDescent="0.45">
      <c r="A138" t="s">
        <v>33</v>
      </c>
      <c r="B138">
        <v>2016</v>
      </c>
      <c r="C138" t="s">
        <v>43</v>
      </c>
      <c r="D138">
        <v>128.69999999999999</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115.2</v>
      </c>
      <c r="W138">
        <v>124.5</v>
      </c>
      <c r="X138">
        <v>121.8</v>
      </c>
      <c r="Y138">
        <v>112.8</v>
      </c>
      <c r="Z138">
        <v>121.2</v>
      </c>
      <c r="AA138">
        <v>131.9</v>
      </c>
      <c r="AB138">
        <v>120.8</v>
      </c>
      <c r="AC138">
        <v>120.9</v>
      </c>
      <c r="AD138">
        <v>128.6</v>
      </c>
      <c r="AE138">
        <f t="shared" si="30"/>
        <v>136.30000000000001</v>
      </c>
      <c r="AF138">
        <f t="shared" si="29"/>
        <v>128.69999999999999</v>
      </c>
      <c r="AG138">
        <f t="shared" si="31"/>
        <v>131.9</v>
      </c>
      <c r="AH138">
        <f t="shared" si="32"/>
        <v>115.2</v>
      </c>
      <c r="AI138">
        <f t="shared" si="33"/>
        <v>121.8</v>
      </c>
      <c r="AJ138">
        <f t="shared" si="33"/>
        <v>112.8</v>
      </c>
      <c r="AK138">
        <f t="shared" si="34"/>
        <v>124.4</v>
      </c>
      <c r="AL138">
        <f t="shared" si="35"/>
        <v>121.2</v>
      </c>
      <c r="AM138">
        <f t="shared" si="36"/>
        <v>144.30000000000001</v>
      </c>
      <c r="AN138">
        <f t="shared" si="37"/>
        <v>122.7</v>
      </c>
      <c r="AO138">
        <f t="shared" si="38"/>
        <v>125.92999999999999</v>
      </c>
    </row>
    <row r="139" spans="1:41" x14ac:dyDescent="0.45">
      <c r="A139" t="s">
        <v>34</v>
      </c>
      <c r="B139">
        <v>2016</v>
      </c>
      <c r="C139" t="s">
        <v>43</v>
      </c>
      <c r="D139">
        <v>128.69999999999999</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124.3</v>
      </c>
      <c r="W139">
        <v>128.4</v>
      </c>
      <c r="X139">
        <v>126.1</v>
      </c>
      <c r="Y139">
        <v>115.2</v>
      </c>
      <c r="Z139">
        <v>123.5</v>
      </c>
      <c r="AA139">
        <v>132.4</v>
      </c>
      <c r="AB139">
        <v>122.1</v>
      </c>
      <c r="AC139">
        <v>123.4</v>
      </c>
      <c r="AD139">
        <v>131.4</v>
      </c>
      <c r="AE139">
        <f t="shared" si="30"/>
        <v>137</v>
      </c>
      <c r="AF139">
        <f t="shared" si="29"/>
        <v>128.69999999999999</v>
      </c>
      <c r="AG139">
        <f t="shared" si="31"/>
        <v>132.4</v>
      </c>
      <c r="AH139">
        <f t="shared" si="32"/>
        <v>124.3</v>
      </c>
      <c r="AI139">
        <f t="shared" si="33"/>
        <v>126.1</v>
      </c>
      <c r="AJ139">
        <f t="shared" si="33"/>
        <v>115.2</v>
      </c>
      <c r="AK139">
        <f t="shared" si="34"/>
        <v>128.30000000000001</v>
      </c>
      <c r="AL139">
        <f t="shared" si="35"/>
        <v>123.5</v>
      </c>
      <c r="AM139">
        <f t="shared" si="36"/>
        <v>141.80000000000001</v>
      </c>
      <c r="AN139">
        <f t="shared" si="37"/>
        <v>125.9</v>
      </c>
      <c r="AO139">
        <f t="shared" si="38"/>
        <v>128.32</v>
      </c>
    </row>
    <row r="140" spans="1:41" x14ac:dyDescent="0.45">
      <c r="A140" t="s">
        <v>30</v>
      </c>
      <c r="B140">
        <v>2016</v>
      </c>
      <c r="C140" t="s">
        <v>45</v>
      </c>
      <c r="D140" t="s">
        <v>32</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v>130.30000000000001</v>
      </c>
      <c r="W140">
        <v>132.1</v>
      </c>
      <c r="X140">
        <v>129.1</v>
      </c>
      <c r="Y140">
        <v>118.2</v>
      </c>
      <c r="Z140">
        <v>126.9</v>
      </c>
      <c r="AA140">
        <v>133.69999999999999</v>
      </c>
      <c r="AB140">
        <v>123.5</v>
      </c>
      <c r="AC140">
        <v>126.1</v>
      </c>
      <c r="AD140">
        <v>133.6</v>
      </c>
      <c r="AE140">
        <f t="shared" si="30"/>
        <v>136.6</v>
      </c>
      <c r="AF140" t="str">
        <f t="shared" si="29"/>
        <v>NA</v>
      </c>
      <c r="AG140">
        <f t="shared" si="31"/>
        <v>133.69999999999999</v>
      </c>
      <c r="AH140">
        <f t="shared" si="32"/>
        <v>130.30000000000001</v>
      </c>
      <c r="AI140">
        <f t="shared" si="33"/>
        <v>129.1</v>
      </c>
      <c r="AJ140">
        <f t="shared" si="33"/>
        <v>118.2</v>
      </c>
      <c r="AK140">
        <f t="shared" si="34"/>
        <v>131.35</v>
      </c>
      <c r="AL140">
        <f t="shared" si="35"/>
        <v>126.9</v>
      </c>
      <c r="AM140">
        <f t="shared" si="36"/>
        <v>141.19999999999999</v>
      </c>
      <c r="AN140">
        <f t="shared" si="37"/>
        <v>129.1</v>
      </c>
      <c r="AO140">
        <f t="shared" si="38"/>
        <v>130.71666666666664</v>
      </c>
    </row>
    <row r="141" spans="1:41" x14ac:dyDescent="0.45">
      <c r="A141" t="s">
        <v>33</v>
      </c>
      <c r="B141">
        <v>2016</v>
      </c>
      <c r="C141" t="s">
        <v>45</v>
      </c>
      <c r="D141">
        <v>129.1</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116.2</v>
      </c>
      <c r="W141">
        <v>124.7</v>
      </c>
      <c r="X141">
        <v>122.1</v>
      </c>
      <c r="Y141">
        <v>113.4</v>
      </c>
      <c r="Z141">
        <v>121.7</v>
      </c>
      <c r="AA141">
        <v>132.1</v>
      </c>
      <c r="AB141">
        <v>121.3</v>
      </c>
      <c r="AC141">
        <v>121.3</v>
      </c>
      <c r="AD141">
        <v>128.5</v>
      </c>
      <c r="AE141">
        <f t="shared" si="30"/>
        <v>135.19999999999999</v>
      </c>
      <c r="AF141">
        <f t="shared" si="29"/>
        <v>129.1</v>
      </c>
      <c r="AG141">
        <f t="shared" si="31"/>
        <v>132.1</v>
      </c>
      <c r="AH141">
        <f t="shared" si="32"/>
        <v>116.2</v>
      </c>
      <c r="AI141">
        <f t="shared" si="33"/>
        <v>122.1</v>
      </c>
      <c r="AJ141">
        <f t="shared" si="33"/>
        <v>113.4</v>
      </c>
      <c r="AK141">
        <f t="shared" si="34"/>
        <v>124.9</v>
      </c>
      <c r="AL141">
        <f t="shared" si="35"/>
        <v>121.7</v>
      </c>
      <c r="AM141">
        <f t="shared" si="36"/>
        <v>144.30000000000001</v>
      </c>
      <c r="AN141">
        <f t="shared" si="37"/>
        <v>123</v>
      </c>
      <c r="AO141">
        <f t="shared" si="38"/>
        <v>126.2</v>
      </c>
    </row>
    <row r="142" spans="1:41" x14ac:dyDescent="0.45">
      <c r="A142" t="s">
        <v>34</v>
      </c>
      <c r="B142">
        <v>2016</v>
      </c>
      <c r="C142" t="s">
        <v>45</v>
      </c>
      <c r="D142">
        <v>129.1</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125</v>
      </c>
      <c r="W142">
        <v>128.6</v>
      </c>
      <c r="X142">
        <v>126.4</v>
      </c>
      <c r="Y142">
        <v>115.7</v>
      </c>
      <c r="Z142">
        <v>124</v>
      </c>
      <c r="AA142">
        <v>132.80000000000001</v>
      </c>
      <c r="AB142">
        <v>122.6</v>
      </c>
      <c r="AC142">
        <v>123.8</v>
      </c>
      <c r="AD142">
        <v>131.19999999999999</v>
      </c>
      <c r="AE142">
        <f t="shared" si="30"/>
        <v>136.1</v>
      </c>
      <c r="AF142">
        <f t="shared" si="29"/>
        <v>129.1</v>
      </c>
      <c r="AG142">
        <f t="shared" si="31"/>
        <v>132.80000000000001</v>
      </c>
      <c r="AH142">
        <f t="shared" si="32"/>
        <v>125</v>
      </c>
      <c r="AI142">
        <f t="shared" si="33"/>
        <v>126.4</v>
      </c>
      <c r="AJ142">
        <f t="shared" si="33"/>
        <v>115.7</v>
      </c>
      <c r="AK142">
        <f t="shared" si="34"/>
        <v>128.80000000000001</v>
      </c>
      <c r="AL142">
        <f t="shared" si="35"/>
        <v>124</v>
      </c>
      <c r="AM142">
        <f t="shared" si="36"/>
        <v>142</v>
      </c>
      <c r="AN142">
        <f t="shared" si="37"/>
        <v>126.19999999999999</v>
      </c>
      <c r="AO142">
        <f t="shared" si="38"/>
        <v>128.61000000000001</v>
      </c>
    </row>
    <row r="143" spans="1:41" x14ac:dyDescent="0.45">
      <c r="A143" t="s">
        <v>30</v>
      </c>
      <c r="B143">
        <v>2016</v>
      </c>
      <c r="C143" t="s">
        <v>46</v>
      </c>
      <c r="D143" t="s">
        <v>32</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v>132</v>
      </c>
      <c r="W143">
        <v>132.9</v>
      </c>
      <c r="X143">
        <v>129.69999999999999</v>
      </c>
      <c r="Y143">
        <v>118.6</v>
      </c>
      <c r="Z143">
        <v>127.3</v>
      </c>
      <c r="AA143">
        <v>134.19999999999999</v>
      </c>
      <c r="AB143">
        <v>121.9</v>
      </c>
      <c r="AC143">
        <v>126.3</v>
      </c>
      <c r="AD143">
        <v>132.80000000000001</v>
      </c>
      <c r="AE143">
        <f t="shared" si="30"/>
        <v>134.69999999999999</v>
      </c>
      <c r="AF143" t="str">
        <f t="shared" si="29"/>
        <v>NA</v>
      </c>
      <c r="AG143">
        <f t="shared" si="31"/>
        <v>134.19999999999999</v>
      </c>
      <c r="AH143">
        <f t="shared" si="32"/>
        <v>132</v>
      </c>
      <c r="AI143">
        <f t="shared" si="33"/>
        <v>129.69999999999999</v>
      </c>
      <c r="AJ143">
        <f t="shared" si="33"/>
        <v>118.6</v>
      </c>
      <c r="AK143">
        <f t="shared" si="34"/>
        <v>130.80000000000001</v>
      </c>
      <c r="AL143">
        <f t="shared" si="35"/>
        <v>127.3</v>
      </c>
      <c r="AM143">
        <f t="shared" si="36"/>
        <v>142.4</v>
      </c>
      <c r="AN143">
        <f t="shared" si="37"/>
        <v>129.6</v>
      </c>
      <c r="AO143">
        <f t="shared" si="38"/>
        <v>131.03333333333333</v>
      </c>
    </row>
    <row r="144" spans="1:41" x14ac:dyDescent="0.45">
      <c r="A144" t="s">
        <v>33</v>
      </c>
      <c r="B144">
        <v>2016</v>
      </c>
      <c r="C144" t="s">
        <v>46</v>
      </c>
      <c r="D144">
        <v>128.5</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117.8</v>
      </c>
      <c r="W144">
        <v>125</v>
      </c>
      <c r="X144">
        <v>122.3</v>
      </c>
      <c r="Y144">
        <v>113.7</v>
      </c>
      <c r="Z144">
        <v>121.8</v>
      </c>
      <c r="AA144">
        <v>132.30000000000001</v>
      </c>
      <c r="AB144">
        <v>119.9</v>
      </c>
      <c r="AC144">
        <v>121.4</v>
      </c>
      <c r="AD144">
        <v>127.6</v>
      </c>
      <c r="AE144">
        <f t="shared" si="30"/>
        <v>132.80000000000001</v>
      </c>
      <c r="AF144">
        <f t="shared" si="29"/>
        <v>128.5</v>
      </c>
      <c r="AG144">
        <f t="shared" si="31"/>
        <v>132.30000000000001</v>
      </c>
      <c r="AH144">
        <f t="shared" si="32"/>
        <v>117.8</v>
      </c>
      <c r="AI144">
        <f t="shared" si="33"/>
        <v>122.3</v>
      </c>
      <c r="AJ144">
        <f t="shared" si="33"/>
        <v>113.7</v>
      </c>
      <c r="AK144">
        <f t="shared" si="34"/>
        <v>124.35000000000001</v>
      </c>
      <c r="AL144">
        <f t="shared" si="35"/>
        <v>121.8</v>
      </c>
      <c r="AM144">
        <f t="shared" si="36"/>
        <v>145</v>
      </c>
      <c r="AN144">
        <f t="shared" si="37"/>
        <v>123.2</v>
      </c>
      <c r="AO144">
        <f t="shared" si="38"/>
        <v>126.17500000000003</v>
      </c>
    </row>
    <row r="145" spans="1:41" x14ac:dyDescent="0.45">
      <c r="A145" t="s">
        <v>34</v>
      </c>
      <c r="B145">
        <v>2016</v>
      </c>
      <c r="C145" t="s">
        <v>46</v>
      </c>
      <c r="D145">
        <v>128.5</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126.6</v>
      </c>
      <c r="W145">
        <v>129.19999999999999</v>
      </c>
      <c r="X145">
        <v>126.9</v>
      </c>
      <c r="Y145">
        <v>116</v>
      </c>
      <c r="Z145">
        <v>124.2</v>
      </c>
      <c r="AA145">
        <v>133.1</v>
      </c>
      <c r="AB145">
        <v>121.1</v>
      </c>
      <c r="AC145">
        <v>123.9</v>
      </c>
      <c r="AD145">
        <v>130.4</v>
      </c>
      <c r="AE145">
        <f t="shared" si="30"/>
        <v>134</v>
      </c>
      <c r="AF145">
        <f t="shared" si="29"/>
        <v>128.5</v>
      </c>
      <c r="AG145">
        <f t="shared" si="31"/>
        <v>133.1</v>
      </c>
      <c r="AH145">
        <f t="shared" si="32"/>
        <v>126.6</v>
      </c>
      <c r="AI145">
        <f t="shared" si="33"/>
        <v>126.9</v>
      </c>
      <c r="AJ145">
        <f t="shared" si="33"/>
        <v>116</v>
      </c>
      <c r="AK145">
        <f t="shared" si="34"/>
        <v>128.25</v>
      </c>
      <c r="AL145">
        <f t="shared" si="35"/>
        <v>124.2</v>
      </c>
      <c r="AM145">
        <f t="shared" si="36"/>
        <v>143.1</v>
      </c>
      <c r="AN145">
        <f t="shared" si="37"/>
        <v>126.55</v>
      </c>
      <c r="AO145">
        <f t="shared" si="38"/>
        <v>128.72</v>
      </c>
    </row>
    <row r="146" spans="1:41" x14ac:dyDescent="0.45">
      <c r="A146" t="s">
        <v>30</v>
      </c>
      <c r="B146">
        <v>2017</v>
      </c>
      <c r="C146" t="s">
        <v>31</v>
      </c>
      <c r="D146" t="s">
        <v>32</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v>132.1</v>
      </c>
      <c r="W146">
        <v>133.19999999999999</v>
      </c>
      <c r="X146">
        <v>129.9</v>
      </c>
      <c r="Y146">
        <v>119.1</v>
      </c>
      <c r="Z146">
        <v>127</v>
      </c>
      <c r="AA146">
        <v>134.6</v>
      </c>
      <c r="AB146">
        <v>122.3</v>
      </c>
      <c r="AC146">
        <v>126.6</v>
      </c>
      <c r="AD146">
        <v>132.4</v>
      </c>
      <c r="AE146">
        <f t="shared" si="30"/>
        <v>133.69999999999999</v>
      </c>
      <c r="AF146" t="str">
        <f t="shared" si="29"/>
        <v>NA</v>
      </c>
      <c r="AG146">
        <f t="shared" si="31"/>
        <v>134.6</v>
      </c>
      <c r="AH146">
        <f t="shared" si="32"/>
        <v>132.1</v>
      </c>
      <c r="AI146">
        <f t="shared" si="33"/>
        <v>129.9</v>
      </c>
      <c r="AJ146">
        <f t="shared" si="33"/>
        <v>119.1</v>
      </c>
      <c r="AK146">
        <f t="shared" si="34"/>
        <v>131.15</v>
      </c>
      <c r="AL146">
        <f t="shared" si="35"/>
        <v>127</v>
      </c>
      <c r="AM146">
        <f t="shared" si="36"/>
        <v>143.1</v>
      </c>
      <c r="AN146">
        <f t="shared" si="37"/>
        <v>129.89999999999998</v>
      </c>
      <c r="AO146">
        <f t="shared" si="38"/>
        <v>131.17222222222219</v>
      </c>
    </row>
    <row r="147" spans="1:41" x14ac:dyDescent="0.45">
      <c r="A147" t="s">
        <v>33</v>
      </c>
      <c r="B147">
        <v>2017</v>
      </c>
      <c r="C147" t="s">
        <v>31</v>
      </c>
      <c r="D147">
        <v>129.6</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118</v>
      </c>
      <c r="W147">
        <v>125.1</v>
      </c>
      <c r="X147">
        <v>122.6</v>
      </c>
      <c r="Y147">
        <v>115.2</v>
      </c>
      <c r="Z147">
        <v>122</v>
      </c>
      <c r="AA147">
        <v>132.4</v>
      </c>
      <c r="AB147">
        <v>120.9</v>
      </c>
      <c r="AC147">
        <v>122.1</v>
      </c>
      <c r="AD147">
        <v>127.8</v>
      </c>
      <c r="AE147">
        <f t="shared" si="30"/>
        <v>132</v>
      </c>
      <c r="AF147">
        <f t="shared" si="29"/>
        <v>129.6</v>
      </c>
      <c r="AG147">
        <f t="shared" si="31"/>
        <v>132.4</v>
      </c>
      <c r="AH147">
        <f t="shared" si="32"/>
        <v>118</v>
      </c>
      <c r="AI147">
        <f t="shared" si="33"/>
        <v>122.6</v>
      </c>
      <c r="AJ147">
        <f t="shared" si="33"/>
        <v>115.2</v>
      </c>
      <c r="AK147">
        <f t="shared" si="34"/>
        <v>124.95</v>
      </c>
      <c r="AL147">
        <f t="shared" si="35"/>
        <v>122</v>
      </c>
      <c r="AM147">
        <f t="shared" si="36"/>
        <v>145.6</v>
      </c>
      <c r="AN147">
        <f t="shared" si="37"/>
        <v>123.6</v>
      </c>
      <c r="AO147">
        <f t="shared" si="38"/>
        <v>126.595</v>
      </c>
    </row>
    <row r="148" spans="1:41" x14ac:dyDescent="0.45">
      <c r="A148" t="s">
        <v>34</v>
      </c>
      <c r="B148">
        <v>2017</v>
      </c>
      <c r="C148" t="s">
        <v>31</v>
      </c>
      <c r="D148">
        <v>129.6</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126.8</v>
      </c>
      <c r="W148">
        <v>129.4</v>
      </c>
      <c r="X148">
        <v>127.1</v>
      </c>
      <c r="Y148">
        <v>117</v>
      </c>
      <c r="Z148">
        <v>124.2</v>
      </c>
      <c r="AA148">
        <v>133.30000000000001</v>
      </c>
      <c r="AB148">
        <v>121.7</v>
      </c>
      <c r="AC148">
        <v>124.4</v>
      </c>
      <c r="AD148">
        <v>130.30000000000001</v>
      </c>
      <c r="AE148">
        <f t="shared" si="30"/>
        <v>133.1</v>
      </c>
      <c r="AF148">
        <f t="shared" si="29"/>
        <v>129.6</v>
      </c>
      <c r="AG148">
        <f t="shared" si="31"/>
        <v>133.30000000000001</v>
      </c>
      <c r="AH148">
        <f t="shared" si="32"/>
        <v>126.8</v>
      </c>
      <c r="AI148">
        <f t="shared" si="33"/>
        <v>127.1</v>
      </c>
      <c r="AJ148">
        <f t="shared" si="33"/>
        <v>117</v>
      </c>
      <c r="AK148">
        <f t="shared" si="34"/>
        <v>128.65</v>
      </c>
      <c r="AL148">
        <f t="shared" si="35"/>
        <v>124.2</v>
      </c>
      <c r="AM148">
        <f t="shared" si="36"/>
        <v>143.80000000000001</v>
      </c>
      <c r="AN148">
        <f t="shared" si="37"/>
        <v>126.9</v>
      </c>
      <c r="AO148">
        <f t="shared" si="38"/>
        <v>129.04500000000002</v>
      </c>
    </row>
    <row r="149" spans="1:41" x14ac:dyDescent="0.45">
      <c r="A149" t="s">
        <v>30</v>
      </c>
      <c r="B149">
        <v>2017</v>
      </c>
      <c r="C149" t="s">
        <v>35</v>
      </c>
      <c r="D149" t="s">
        <v>32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v>133.19999999999999</v>
      </c>
      <c r="W149">
        <v>133.6</v>
      </c>
      <c r="X149">
        <v>130.1</v>
      </c>
      <c r="Y149">
        <v>119.5</v>
      </c>
      <c r="Z149">
        <v>127.7</v>
      </c>
      <c r="AA149">
        <v>134.9</v>
      </c>
      <c r="AB149">
        <v>123.2</v>
      </c>
      <c r="AC149">
        <v>127</v>
      </c>
      <c r="AD149">
        <v>132.6</v>
      </c>
      <c r="AE149">
        <f t="shared" si="30"/>
        <v>133.6</v>
      </c>
      <c r="AF149" t="str">
        <f t="shared" si="29"/>
        <v>NA</v>
      </c>
      <c r="AG149">
        <f t="shared" si="31"/>
        <v>134.9</v>
      </c>
      <c r="AH149">
        <f t="shared" si="32"/>
        <v>133.19999999999999</v>
      </c>
      <c r="AI149">
        <f t="shared" si="33"/>
        <v>130.1</v>
      </c>
      <c r="AJ149">
        <f t="shared" si="33"/>
        <v>119.5</v>
      </c>
      <c r="AK149">
        <f t="shared" si="34"/>
        <v>131.69999999999999</v>
      </c>
      <c r="AL149">
        <f t="shared" si="35"/>
        <v>127.7</v>
      </c>
      <c r="AM149">
        <f t="shared" si="36"/>
        <v>143.69999999999999</v>
      </c>
      <c r="AN149">
        <f t="shared" si="37"/>
        <v>130.30000000000001</v>
      </c>
      <c r="AO149">
        <f t="shared" si="38"/>
        <v>131.63333333333333</v>
      </c>
    </row>
    <row r="150" spans="1:41" x14ac:dyDescent="0.45">
      <c r="A150" t="s">
        <v>33</v>
      </c>
      <c r="B150">
        <v>2017</v>
      </c>
      <c r="C150" t="s">
        <v>35</v>
      </c>
      <c r="D150">
        <v>130.5</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119.2</v>
      </c>
      <c r="W150">
        <v>125.3</v>
      </c>
      <c r="X150">
        <v>122.9</v>
      </c>
      <c r="Y150">
        <v>115.5</v>
      </c>
      <c r="Z150">
        <v>122.2</v>
      </c>
      <c r="AA150">
        <v>132.4</v>
      </c>
      <c r="AB150">
        <v>121.7</v>
      </c>
      <c r="AC150">
        <v>122.4</v>
      </c>
      <c r="AD150">
        <v>128.19999999999999</v>
      </c>
      <c r="AE150">
        <f t="shared" si="30"/>
        <v>132.1</v>
      </c>
      <c r="AF150">
        <f t="shared" si="29"/>
        <v>130.5</v>
      </c>
      <c r="AG150">
        <f t="shared" si="31"/>
        <v>132.4</v>
      </c>
      <c r="AH150">
        <f t="shared" si="32"/>
        <v>119.2</v>
      </c>
      <c r="AI150">
        <f t="shared" si="33"/>
        <v>122.9</v>
      </c>
      <c r="AJ150">
        <f t="shared" si="33"/>
        <v>115.5</v>
      </c>
      <c r="AK150">
        <f t="shared" si="34"/>
        <v>125.5</v>
      </c>
      <c r="AL150">
        <f t="shared" si="35"/>
        <v>122.2</v>
      </c>
      <c r="AM150">
        <f t="shared" si="36"/>
        <v>146.30000000000001</v>
      </c>
      <c r="AN150">
        <f t="shared" si="37"/>
        <v>123.85</v>
      </c>
      <c r="AO150">
        <f t="shared" si="38"/>
        <v>127.045</v>
      </c>
    </row>
    <row r="151" spans="1:41" x14ac:dyDescent="0.45">
      <c r="A151" t="s">
        <v>34</v>
      </c>
      <c r="B151">
        <v>2017</v>
      </c>
      <c r="C151" t="s">
        <v>35</v>
      </c>
      <c r="D151">
        <v>130.5</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127.9</v>
      </c>
      <c r="W151">
        <v>129.69999999999999</v>
      </c>
      <c r="X151">
        <v>127.4</v>
      </c>
      <c r="Y151">
        <v>117.4</v>
      </c>
      <c r="Z151">
        <v>124.6</v>
      </c>
      <c r="AA151">
        <v>133.4</v>
      </c>
      <c r="AB151">
        <v>122.6</v>
      </c>
      <c r="AC151">
        <v>124.8</v>
      </c>
      <c r="AD151">
        <v>130.6</v>
      </c>
      <c r="AE151">
        <f t="shared" si="30"/>
        <v>133</v>
      </c>
      <c r="AF151">
        <f t="shared" si="29"/>
        <v>130.5</v>
      </c>
      <c r="AG151">
        <f t="shared" si="31"/>
        <v>133.4</v>
      </c>
      <c r="AH151">
        <f t="shared" si="32"/>
        <v>127.9</v>
      </c>
      <c r="AI151">
        <f t="shared" si="33"/>
        <v>127.4</v>
      </c>
      <c r="AJ151">
        <f t="shared" si="33"/>
        <v>117.4</v>
      </c>
      <c r="AK151">
        <f t="shared" si="34"/>
        <v>129.25</v>
      </c>
      <c r="AL151">
        <f t="shared" si="35"/>
        <v>124.6</v>
      </c>
      <c r="AM151">
        <f t="shared" si="36"/>
        <v>144.4</v>
      </c>
      <c r="AN151">
        <f t="shared" si="37"/>
        <v>127.25</v>
      </c>
      <c r="AO151">
        <f t="shared" si="38"/>
        <v>129.51</v>
      </c>
    </row>
    <row r="152" spans="1:41" x14ac:dyDescent="0.45">
      <c r="A152" t="s">
        <v>30</v>
      </c>
      <c r="B152">
        <v>2017</v>
      </c>
      <c r="C152" t="s">
        <v>36</v>
      </c>
      <c r="D152" t="s">
        <v>32</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v>134.19999999999999</v>
      </c>
      <c r="W152">
        <v>134.1</v>
      </c>
      <c r="X152">
        <v>130.6</v>
      </c>
      <c r="Y152">
        <v>119.8</v>
      </c>
      <c r="Z152">
        <v>128.30000000000001</v>
      </c>
      <c r="AA152">
        <v>135.19999999999999</v>
      </c>
      <c r="AB152">
        <v>123.3</v>
      </c>
      <c r="AC152">
        <v>127.4</v>
      </c>
      <c r="AD152">
        <v>132.80000000000001</v>
      </c>
      <c r="AE152">
        <f t="shared" si="30"/>
        <v>133.4</v>
      </c>
      <c r="AF152" t="str">
        <f t="shared" si="29"/>
        <v>NA</v>
      </c>
      <c r="AG152">
        <f t="shared" si="31"/>
        <v>135.19999999999999</v>
      </c>
      <c r="AH152">
        <f t="shared" si="32"/>
        <v>134.19999999999999</v>
      </c>
      <c r="AI152">
        <f t="shared" si="33"/>
        <v>130.6</v>
      </c>
      <c r="AJ152">
        <f t="shared" si="33"/>
        <v>119.8</v>
      </c>
      <c r="AK152">
        <f t="shared" si="34"/>
        <v>132.05000000000001</v>
      </c>
      <c r="AL152">
        <f t="shared" si="35"/>
        <v>128.30000000000001</v>
      </c>
      <c r="AM152">
        <f t="shared" si="36"/>
        <v>144.19999999999999</v>
      </c>
      <c r="AN152">
        <f t="shared" si="37"/>
        <v>130.75</v>
      </c>
      <c r="AO152">
        <f t="shared" si="38"/>
        <v>132.05555555555554</v>
      </c>
    </row>
    <row r="153" spans="1:41" x14ac:dyDescent="0.45">
      <c r="A153" t="s">
        <v>33</v>
      </c>
      <c r="B153">
        <v>2017</v>
      </c>
      <c r="C153" t="s">
        <v>36</v>
      </c>
      <c r="D153">
        <v>131.1</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120.8</v>
      </c>
      <c r="W153">
        <v>125.6</v>
      </c>
      <c r="X153">
        <v>123.1</v>
      </c>
      <c r="Y153">
        <v>115.6</v>
      </c>
      <c r="Z153">
        <v>122.4</v>
      </c>
      <c r="AA153">
        <v>132.80000000000001</v>
      </c>
      <c r="AB153">
        <v>121.7</v>
      </c>
      <c r="AC153">
        <v>122.6</v>
      </c>
      <c r="AD153">
        <v>128.69999999999999</v>
      </c>
      <c r="AE153">
        <f t="shared" si="30"/>
        <v>132.6</v>
      </c>
      <c r="AF153">
        <f t="shared" si="29"/>
        <v>131.1</v>
      </c>
      <c r="AG153">
        <f t="shared" si="31"/>
        <v>132.80000000000001</v>
      </c>
      <c r="AH153">
        <f t="shared" si="32"/>
        <v>120.8</v>
      </c>
      <c r="AI153">
        <f t="shared" si="33"/>
        <v>123.1</v>
      </c>
      <c r="AJ153">
        <f t="shared" si="33"/>
        <v>115.6</v>
      </c>
      <c r="AK153">
        <f t="shared" si="34"/>
        <v>125.65</v>
      </c>
      <c r="AL153">
        <f t="shared" si="35"/>
        <v>122.4</v>
      </c>
      <c r="AM153">
        <f t="shared" si="36"/>
        <v>147.5</v>
      </c>
      <c r="AN153">
        <f t="shared" si="37"/>
        <v>124.1</v>
      </c>
      <c r="AO153">
        <f t="shared" si="38"/>
        <v>127.56499999999998</v>
      </c>
    </row>
    <row r="154" spans="1:41" x14ac:dyDescent="0.45">
      <c r="A154" t="s">
        <v>34</v>
      </c>
      <c r="B154">
        <v>2017</v>
      </c>
      <c r="C154" t="s">
        <v>36</v>
      </c>
      <c r="D154">
        <v>131.1</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129.1</v>
      </c>
      <c r="W154">
        <v>130.1</v>
      </c>
      <c r="X154">
        <v>127.8</v>
      </c>
      <c r="Y154">
        <v>117.6</v>
      </c>
      <c r="Z154">
        <v>125</v>
      </c>
      <c r="AA154">
        <v>133.80000000000001</v>
      </c>
      <c r="AB154">
        <v>122.6</v>
      </c>
      <c r="AC154">
        <v>125.1</v>
      </c>
      <c r="AD154">
        <v>130.9</v>
      </c>
      <c r="AE154">
        <f t="shared" si="30"/>
        <v>133.1</v>
      </c>
      <c r="AF154">
        <f t="shared" si="29"/>
        <v>131.1</v>
      </c>
      <c r="AG154">
        <f t="shared" si="31"/>
        <v>133.80000000000001</v>
      </c>
      <c r="AH154">
        <f t="shared" si="32"/>
        <v>129.1</v>
      </c>
      <c r="AI154">
        <f t="shared" si="33"/>
        <v>127.8</v>
      </c>
      <c r="AJ154">
        <f t="shared" si="33"/>
        <v>117.6</v>
      </c>
      <c r="AK154">
        <f t="shared" si="34"/>
        <v>129.5</v>
      </c>
      <c r="AL154">
        <f t="shared" si="35"/>
        <v>125</v>
      </c>
      <c r="AM154">
        <f t="shared" si="36"/>
        <v>145.1</v>
      </c>
      <c r="AN154">
        <f t="shared" si="37"/>
        <v>127.6</v>
      </c>
      <c r="AO154">
        <f t="shared" si="38"/>
        <v>129.96999999999997</v>
      </c>
    </row>
    <row r="155" spans="1:41" x14ac:dyDescent="0.45">
      <c r="A155" t="s">
        <v>30</v>
      </c>
      <c r="B155">
        <v>2017</v>
      </c>
      <c r="C155" t="s">
        <v>37</v>
      </c>
      <c r="D155" t="s">
        <v>32</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v>135</v>
      </c>
      <c r="W155">
        <v>134.30000000000001</v>
      </c>
      <c r="X155">
        <v>131</v>
      </c>
      <c r="Y155">
        <v>119.2</v>
      </c>
      <c r="Z155">
        <v>128.30000000000001</v>
      </c>
      <c r="AA155">
        <v>135.69999999999999</v>
      </c>
      <c r="AB155">
        <v>123.7</v>
      </c>
      <c r="AC155">
        <v>127.5</v>
      </c>
      <c r="AD155">
        <v>132.9</v>
      </c>
      <c r="AE155">
        <f t="shared" si="30"/>
        <v>133.5</v>
      </c>
      <c r="AF155" t="str">
        <f t="shared" si="29"/>
        <v>NA</v>
      </c>
      <c r="AG155">
        <f t="shared" si="31"/>
        <v>135.69999999999999</v>
      </c>
      <c r="AH155">
        <f t="shared" si="32"/>
        <v>135</v>
      </c>
      <c r="AI155">
        <f t="shared" si="33"/>
        <v>131</v>
      </c>
      <c r="AJ155">
        <f t="shared" si="33"/>
        <v>119.2</v>
      </c>
      <c r="AK155">
        <f t="shared" si="34"/>
        <v>132.65</v>
      </c>
      <c r="AL155">
        <f t="shared" si="35"/>
        <v>128.30000000000001</v>
      </c>
      <c r="AM155">
        <f t="shared" si="36"/>
        <v>144.4</v>
      </c>
      <c r="AN155">
        <f t="shared" si="37"/>
        <v>130.9</v>
      </c>
      <c r="AO155">
        <f t="shared" si="38"/>
        <v>132.29444444444448</v>
      </c>
    </row>
    <row r="156" spans="1:41" x14ac:dyDescent="0.45">
      <c r="A156" t="s">
        <v>33</v>
      </c>
      <c r="B156">
        <v>2017</v>
      </c>
      <c r="C156" t="s">
        <v>37</v>
      </c>
      <c r="D156">
        <v>131.69999999999999</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121.4</v>
      </c>
      <c r="W156">
        <v>126</v>
      </c>
      <c r="X156">
        <v>123.4</v>
      </c>
      <c r="Y156">
        <v>114.3</v>
      </c>
      <c r="Z156">
        <v>122.6</v>
      </c>
      <c r="AA156">
        <v>133.6</v>
      </c>
      <c r="AB156">
        <v>122.2</v>
      </c>
      <c r="AC156">
        <v>122.5</v>
      </c>
      <c r="AD156">
        <v>129.1</v>
      </c>
      <c r="AE156">
        <f t="shared" si="30"/>
        <v>133.4</v>
      </c>
      <c r="AF156">
        <f t="shared" si="29"/>
        <v>131.69999999999999</v>
      </c>
      <c r="AG156">
        <f t="shared" si="31"/>
        <v>133.6</v>
      </c>
      <c r="AH156">
        <f t="shared" si="32"/>
        <v>121.4</v>
      </c>
      <c r="AI156">
        <f t="shared" si="33"/>
        <v>123.4</v>
      </c>
      <c r="AJ156">
        <f t="shared" si="33"/>
        <v>114.3</v>
      </c>
      <c r="AK156">
        <f t="shared" si="34"/>
        <v>126.1</v>
      </c>
      <c r="AL156">
        <f t="shared" si="35"/>
        <v>122.6</v>
      </c>
      <c r="AM156">
        <f t="shared" si="36"/>
        <v>148</v>
      </c>
      <c r="AN156">
        <f t="shared" si="37"/>
        <v>124.25</v>
      </c>
      <c r="AO156">
        <f t="shared" si="38"/>
        <v>127.875</v>
      </c>
    </row>
    <row r="157" spans="1:41" x14ac:dyDescent="0.45">
      <c r="A157" t="s">
        <v>34</v>
      </c>
      <c r="B157">
        <v>2017</v>
      </c>
      <c r="C157" t="s">
        <v>37</v>
      </c>
      <c r="D157">
        <v>131.69999999999999</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129.80000000000001</v>
      </c>
      <c r="W157">
        <v>130.4</v>
      </c>
      <c r="X157">
        <v>128.1</v>
      </c>
      <c r="Y157">
        <v>116.6</v>
      </c>
      <c r="Z157">
        <v>125.1</v>
      </c>
      <c r="AA157">
        <v>134.5</v>
      </c>
      <c r="AB157">
        <v>123.1</v>
      </c>
      <c r="AC157">
        <v>125.1</v>
      </c>
      <c r="AD157">
        <v>131.1</v>
      </c>
      <c r="AE157">
        <f t="shared" si="30"/>
        <v>133.5</v>
      </c>
      <c r="AF157">
        <f t="shared" si="29"/>
        <v>131.69999999999999</v>
      </c>
      <c r="AG157">
        <f t="shared" si="31"/>
        <v>134.5</v>
      </c>
      <c r="AH157">
        <f t="shared" si="32"/>
        <v>129.80000000000001</v>
      </c>
      <c r="AI157">
        <f t="shared" si="33"/>
        <v>128.1</v>
      </c>
      <c r="AJ157">
        <f t="shared" si="33"/>
        <v>116.6</v>
      </c>
      <c r="AK157">
        <f t="shared" si="34"/>
        <v>130.05000000000001</v>
      </c>
      <c r="AL157">
        <f t="shared" si="35"/>
        <v>125.1</v>
      </c>
      <c r="AM157">
        <f t="shared" si="36"/>
        <v>145.4</v>
      </c>
      <c r="AN157">
        <f t="shared" si="37"/>
        <v>127.75</v>
      </c>
      <c r="AO157">
        <f t="shared" si="38"/>
        <v>130.25</v>
      </c>
    </row>
    <row r="158" spans="1:41" x14ac:dyDescent="0.45">
      <c r="A158" t="s">
        <v>30</v>
      </c>
      <c r="B158">
        <v>2017</v>
      </c>
      <c r="C158" t="s">
        <v>38</v>
      </c>
      <c r="D158" t="s">
        <v>32</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v>135</v>
      </c>
      <c r="W158">
        <v>134.9</v>
      </c>
      <c r="X158">
        <v>131.4</v>
      </c>
      <c r="Y158">
        <v>119.4</v>
      </c>
      <c r="Z158">
        <v>129.4</v>
      </c>
      <c r="AA158">
        <v>136.30000000000001</v>
      </c>
      <c r="AB158">
        <v>123.7</v>
      </c>
      <c r="AC158">
        <v>127.9</v>
      </c>
      <c r="AD158">
        <v>133.30000000000001</v>
      </c>
      <c r="AE158">
        <f t="shared" si="30"/>
        <v>133.80000000000001</v>
      </c>
      <c r="AF158" t="str">
        <f t="shared" si="29"/>
        <v>NA</v>
      </c>
      <c r="AG158">
        <f t="shared" si="31"/>
        <v>136.30000000000001</v>
      </c>
      <c r="AH158">
        <f t="shared" si="32"/>
        <v>135</v>
      </c>
      <c r="AI158">
        <f t="shared" si="33"/>
        <v>131.4</v>
      </c>
      <c r="AJ158">
        <f t="shared" si="33"/>
        <v>119.4</v>
      </c>
      <c r="AK158">
        <f t="shared" si="34"/>
        <v>132.75</v>
      </c>
      <c r="AL158">
        <f t="shared" si="35"/>
        <v>129.4</v>
      </c>
      <c r="AM158">
        <f t="shared" si="36"/>
        <v>145.5</v>
      </c>
      <c r="AN158">
        <f t="shared" si="37"/>
        <v>131.4</v>
      </c>
      <c r="AO158">
        <f t="shared" si="38"/>
        <v>132.77222222222224</v>
      </c>
    </row>
    <row r="159" spans="1:41" x14ac:dyDescent="0.45">
      <c r="A159" t="s">
        <v>33</v>
      </c>
      <c r="B159">
        <v>2017</v>
      </c>
      <c r="C159" t="s">
        <v>38</v>
      </c>
      <c r="D159">
        <v>132.1</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120.1</v>
      </c>
      <c r="W159">
        <v>126.5</v>
      </c>
      <c r="X159">
        <v>123.6</v>
      </c>
      <c r="Y159">
        <v>114.3</v>
      </c>
      <c r="Z159">
        <v>122.8</v>
      </c>
      <c r="AA159">
        <v>133.80000000000001</v>
      </c>
      <c r="AB159">
        <v>122</v>
      </c>
      <c r="AC159">
        <v>122.6</v>
      </c>
      <c r="AD159">
        <v>129.30000000000001</v>
      </c>
      <c r="AE159">
        <f t="shared" si="30"/>
        <v>133.6</v>
      </c>
      <c r="AF159">
        <f t="shared" si="29"/>
        <v>132.1</v>
      </c>
      <c r="AG159">
        <f t="shared" si="31"/>
        <v>133.80000000000001</v>
      </c>
      <c r="AH159">
        <f t="shared" si="32"/>
        <v>120.1</v>
      </c>
      <c r="AI159">
        <f t="shared" si="33"/>
        <v>123.6</v>
      </c>
      <c r="AJ159">
        <f t="shared" si="33"/>
        <v>114.3</v>
      </c>
      <c r="AK159">
        <f t="shared" si="34"/>
        <v>126.1</v>
      </c>
      <c r="AL159">
        <f t="shared" si="35"/>
        <v>122.8</v>
      </c>
      <c r="AM159">
        <f t="shared" si="36"/>
        <v>148.30000000000001</v>
      </c>
      <c r="AN159">
        <f t="shared" si="37"/>
        <v>124.55</v>
      </c>
      <c r="AO159">
        <f t="shared" si="38"/>
        <v>127.925</v>
      </c>
    </row>
    <row r="160" spans="1:41" x14ac:dyDescent="0.45">
      <c r="A160" t="s">
        <v>34</v>
      </c>
      <c r="B160">
        <v>2017</v>
      </c>
      <c r="C160" t="s">
        <v>38</v>
      </c>
      <c r="D160">
        <v>132.1</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129.4</v>
      </c>
      <c r="W160">
        <v>130.9</v>
      </c>
      <c r="X160">
        <v>128.4</v>
      </c>
      <c r="Y160">
        <v>116.7</v>
      </c>
      <c r="Z160">
        <v>125.7</v>
      </c>
      <c r="AA160">
        <v>134.80000000000001</v>
      </c>
      <c r="AB160">
        <v>123</v>
      </c>
      <c r="AC160">
        <v>125.3</v>
      </c>
      <c r="AD160">
        <v>131.4</v>
      </c>
      <c r="AE160">
        <f t="shared" si="30"/>
        <v>133.69999999999999</v>
      </c>
      <c r="AF160">
        <f t="shared" si="29"/>
        <v>132.1</v>
      </c>
      <c r="AG160">
        <f t="shared" si="31"/>
        <v>134.80000000000001</v>
      </c>
      <c r="AH160">
        <f t="shared" si="32"/>
        <v>129.4</v>
      </c>
      <c r="AI160">
        <f t="shared" si="33"/>
        <v>128.4</v>
      </c>
      <c r="AJ160">
        <f t="shared" si="33"/>
        <v>116.7</v>
      </c>
      <c r="AK160">
        <f t="shared" si="34"/>
        <v>130.1</v>
      </c>
      <c r="AL160">
        <f t="shared" si="35"/>
        <v>125.7</v>
      </c>
      <c r="AM160">
        <f t="shared" si="36"/>
        <v>146.19999999999999</v>
      </c>
      <c r="AN160">
        <f t="shared" si="37"/>
        <v>128.1</v>
      </c>
      <c r="AO160">
        <f t="shared" si="38"/>
        <v>130.52000000000001</v>
      </c>
    </row>
    <row r="161" spans="1:41" x14ac:dyDescent="0.45">
      <c r="A161" t="s">
        <v>30</v>
      </c>
      <c r="B161">
        <v>2017</v>
      </c>
      <c r="C161" t="s">
        <v>39</v>
      </c>
      <c r="D161" t="s">
        <v>32</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v>134.80000000000001</v>
      </c>
      <c r="W161">
        <v>135.19999999999999</v>
      </c>
      <c r="X161">
        <v>131.30000000000001</v>
      </c>
      <c r="Y161">
        <v>119.4</v>
      </c>
      <c r="Z161">
        <v>129.80000000000001</v>
      </c>
      <c r="AA161">
        <v>136.9</v>
      </c>
      <c r="AB161">
        <v>124.1</v>
      </c>
      <c r="AC161">
        <v>128.1</v>
      </c>
      <c r="AD161">
        <v>133.9</v>
      </c>
      <c r="AE161">
        <f t="shared" si="30"/>
        <v>134.9</v>
      </c>
      <c r="AF161" t="str">
        <f t="shared" si="29"/>
        <v>NA</v>
      </c>
      <c r="AG161">
        <f t="shared" si="31"/>
        <v>136.9</v>
      </c>
      <c r="AH161">
        <f t="shared" si="32"/>
        <v>134.80000000000001</v>
      </c>
      <c r="AI161">
        <f t="shared" si="33"/>
        <v>131.30000000000001</v>
      </c>
      <c r="AJ161">
        <f t="shared" si="33"/>
        <v>119.4</v>
      </c>
      <c r="AK161">
        <f t="shared" si="34"/>
        <v>133.19999999999999</v>
      </c>
      <c r="AL161">
        <f t="shared" si="35"/>
        <v>129.80000000000001</v>
      </c>
      <c r="AM161">
        <f t="shared" si="36"/>
        <v>145.80000000000001</v>
      </c>
      <c r="AN161">
        <f t="shared" si="37"/>
        <v>131.64999999999998</v>
      </c>
      <c r="AO161">
        <f t="shared" si="38"/>
        <v>133.08333333333334</v>
      </c>
    </row>
    <row r="162" spans="1:41" x14ac:dyDescent="0.45">
      <c r="A162" t="s">
        <v>33</v>
      </c>
      <c r="B162">
        <v>2017</v>
      </c>
      <c r="C162" t="s">
        <v>39</v>
      </c>
      <c r="D162">
        <v>131.4</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119</v>
      </c>
      <c r="W162">
        <v>126.8</v>
      </c>
      <c r="X162">
        <v>123.8</v>
      </c>
      <c r="Y162">
        <v>113.9</v>
      </c>
      <c r="Z162">
        <v>122.9</v>
      </c>
      <c r="AA162">
        <v>134.30000000000001</v>
      </c>
      <c r="AB162">
        <v>122.5</v>
      </c>
      <c r="AC162">
        <v>122.7</v>
      </c>
      <c r="AD162">
        <v>129.9</v>
      </c>
      <c r="AE162">
        <f t="shared" si="30"/>
        <v>135.69999999999999</v>
      </c>
      <c r="AF162">
        <f t="shared" si="29"/>
        <v>131.4</v>
      </c>
      <c r="AG162">
        <f t="shared" si="31"/>
        <v>134.30000000000001</v>
      </c>
      <c r="AH162">
        <f t="shared" si="32"/>
        <v>119</v>
      </c>
      <c r="AI162">
        <f t="shared" si="33"/>
        <v>123.8</v>
      </c>
      <c r="AJ162">
        <f t="shared" si="33"/>
        <v>113.9</v>
      </c>
      <c r="AK162">
        <f t="shared" si="34"/>
        <v>126.35</v>
      </c>
      <c r="AL162">
        <f t="shared" si="35"/>
        <v>122.9</v>
      </c>
      <c r="AM162">
        <f t="shared" si="36"/>
        <v>148.6</v>
      </c>
      <c r="AN162">
        <f t="shared" si="37"/>
        <v>124.75</v>
      </c>
      <c r="AO162">
        <f t="shared" si="38"/>
        <v>128.07</v>
      </c>
    </row>
    <row r="163" spans="1:41" x14ac:dyDescent="0.45">
      <c r="A163" t="s">
        <v>34</v>
      </c>
      <c r="B163">
        <v>2017</v>
      </c>
      <c r="C163" t="s">
        <v>39</v>
      </c>
      <c r="D163">
        <v>131.4</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128.80000000000001</v>
      </c>
      <c r="W163">
        <v>131.19999999999999</v>
      </c>
      <c r="X163">
        <v>128.5</v>
      </c>
      <c r="Y163">
        <v>116.5</v>
      </c>
      <c r="Z163">
        <v>125.9</v>
      </c>
      <c r="AA163">
        <v>135.4</v>
      </c>
      <c r="AB163">
        <v>123.4</v>
      </c>
      <c r="AC163">
        <v>125.5</v>
      </c>
      <c r="AD163">
        <v>132</v>
      </c>
      <c r="AE163">
        <f t="shared" si="30"/>
        <v>135.19999999999999</v>
      </c>
      <c r="AF163">
        <f t="shared" si="29"/>
        <v>131.4</v>
      </c>
      <c r="AG163">
        <f t="shared" si="31"/>
        <v>135.4</v>
      </c>
      <c r="AH163">
        <f t="shared" si="32"/>
        <v>128.80000000000001</v>
      </c>
      <c r="AI163">
        <f t="shared" si="33"/>
        <v>128.5</v>
      </c>
      <c r="AJ163">
        <f t="shared" si="33"/>
        <v>116.5</v>
      </c>
      <c r="AK163">
        <f t="shared" si="34"/>
        <v>130.44999999999999</v>
      </c>
      <c r="AL163">
        <f t="shared" si="35"/>
        <v>125.9</v>
      </c>
      <c r="AM163">
        <f t="shared" si="36"/>
        <v>146.5</v>
      </c>
      <c r="AN163">
        <f t="shared" si="37"/>
        <v>128.35</v>
      </c>
      <c r="AO163">
        <f t="shared" si="38"/>
        <v>130.69999999999999</v>
      </c>
    </row>
    <row r="164" spans="1:41" x14ac:dyDescent="0.45">
      <c r="A164" t="s">
        <v>30</v>
      </c>
      <c r="B164">
        <v>2017</v>
      </c>
      <c r="C164" t="s">
        <v>40</v>
      </c>
      <c r="D164" t="s">
        <v>32</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v>135.30000000000001</v>
      </c>
      <c r="W164">
        <v>136.1</v>
      </c>
      <c r="X164">
        <v>132.1</v>
      </c>
      <c r="Y164">
        <v>119.1</v>
      </c>
      <c r="Z164">
        <v>130.6</v>
      </c>
      <c r="AA164">
        <v>138.6</v>
      </c>
      <c r="AB164">
        <v>124.4</v>
      </c>
      <c r="AC164">
        <v>128.6</v>
      </c>
      <c r="AD164">
        <v>136.19999999999999</v>
      </c>
      <c r="AE164">
        <f t="shared" si="30"/>
        <v>138.5</v>
      </c>
      <c r="AF164" t="str">
        <f t="shared" si="29"/>
        <v>NA</v>
      </c>
      <c r="AG164">
        <f t="shared" si="31"/>
        <v>138.6</v>
      </c>
      <c r="AH164">
        <f t="shared" si="32"/>
        <v>135.30000000000001</v>
      </c>
      <c r="AI164">
        <f t="shared" si="33"/>
        <v>132.1</v>
      </c>
      <c r="AJ164">
        <f t="shared" si="33"/>
        <v>119.1</v>
      </c>
      <c r="AK164">
        <f t="shared" si="34"/>
        <v>133.94999999999999</v>
      </c>
      <c r="AL164">
        <f t="shared" si="35"/>
        <v>130.6</v>
      </c>
      <c r="AM164">
        <f t="shared" si="36"/>
        <v>147.4</v>
      </c>
      <c r="AN164">
        <f t="shared" si="37"/>
        <v>132.35</v>
      </c>
      <c r="AO164">
        <f t="shared" si="38"/>
        <v>134.21111111111111</v>
      </c>
    </row>
    <row r="165" spans="1:41" x14ac:dyDescent="0.45">
      <c r="A165" t="s">
        <v>33</v>
      </c>
      <c r="B165">
        <v>2017</v>
      </c>
      <c r="C165" t="s">
        <v>40</v>
      </c>
      <c r="D165">
        <v>132.6</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119.7</v>
      </c>
      <c r="W165">
        <v>127.2</v>
      </c>
      <c r="X165">
        <v>125</v>
      </c>
      <c r="Y165">
        <v>113.2</v>
      </c>
      <c r="Z165">
        <v>123.5</v>
      </c>
      <c r="AA165">
        <v>135.5</v>
      </c>
      <c r="AB165">
        <v>122.4</v>
      </c>
      <c r="AC165">
        <v>123</v>
      </c>
      <c r="AD165">
        <v>131.80000000000001</v>
      </c>
      <c r="AE165">
        <f t="shared" si="30"/>
        <v>139.80000000000001</v>
      </c>
      <c r="AF165">
        <f t="shared" si="29"/>
        <v>132.6</v>
      </c>
      <c r="AG165">
        <f t="shared" si="31"/>
        <v>135.5</v>
      </c>
      <c r="AH165">
        <f t="shared" si="32"/>
        <v>119.7</v>
      </c>
      <c r="AI165">
        <f t="shared" si="33"/>
        <v>125</v>
      </c>
      <c r="AJ165">
        <f t="shared" si="33"/>
        <v>113.2</v>
      </c>
      <c r="AK165">
        <f t="shared" si="34"/>
        <v>126.4</v>
      </c>
      <c r="AL165">
        <f t="shared" si="35"/>
        <v>123.5</v>
      </c>
      <c r="AM165">
        <f t="shared" si="36"/>
        <v>150.5</v>
      </c>
      <c r="AN165">
        <f t="shared" si="37"/>
        <v>125.1</v>
      </c>
      <c r="AO165">
        <f t="shared" si="38"/>
        <v>129.13</v>
      </c>
    </row>
    <row r="166" spans="1:41" x14ac:dyDescent="0.45">
      <c r="A166" t="s">
        <v>34</v>
      </c>
      <c r="B166">
        <v>2017</v>
      </c>
      <c r="C166" t="s">
        <v>40</v>
      </c>
      <c r="D166">
        <v>132.6</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129.4</v>
      </c>
      <c r="W166">
        <v>131.9</v>
      </c>
      <c r="X166">
        <v>129.4</v>
      </c>
      <c r="Y166">
        <v>116</v>
      </c>
      <c r="Z166">
        <v>126.6</v>
      </c>
      <c r="AA166">
        <v>136.80000000000001</v>
      </c>
      <c r="AB166">
        <v>123.6</v>
      </c>
      <c r="AC166">
        <v>125.9</v>
      </c>
      <c r="AD166">
        <v>134.19999999999999</v>
      </c>
      <c r="AE166">
        <f t="shared" si="30"/>
        <v>139</v>
      </c>
      <c r="AF166">
        <f t="shared" si="29"/>
        <v>132.6</v>
      </c>
      <c r="AG166">
        <f t="shared" si="31"/>
        <v>136.80000000000001</v>
      </c>
      <c r="AH166">
        <f t="shared" si="32"/>
        <v>129.4</v>
      </c>
      <c r="AI166">
        <f t="shared" si="33"/>
        <v>129.4</v>
      </c>
      <c r="AJ166">
        <f t="shared" si="33"/>
        <v>116</v>
      </c>
      <c r="AK166">
        <f t="shared" si="34"/>
        <v>130.94999999999999</v>
      </c>
      <c r="AL166">
        <f t="shared" si="35"/>
        <v>126.6</v>
      </c>
      <c r="AM166">
        <f t="shared" si="36"/>
        <v>148.19999999999999</v>
      </c>
      <c r="AN166">
        <f t="shared" si="37"/>
        <v>128.9</v>
      </c>
      <c r="AO166">
        <f t="shared" si="38"/>
        <v>131.78500000000003</v>
      </c>
    </row>
    <row r="167" spans="1:41" x14ac:dyDescent="0.45">
      <c r="A167" t="s">
        <v>30</v>
      </c>
      <c r="B167">
        <v>2017</v>
      </c>
      <c r="C167" t="s">
        <v>41</v>
      </c>
      <c r="D167" t="s">
        <v>32</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v>136.4</v>
      </c>
      <c r="W167">
        <v>137.30000000000001</v>
      </c>
      <c r="X167">
        <v>133</v>
      </c>
      <c r="Y167">
        <v>120.3</v>
      </c>
      <c r="Z167">
        <v>131.5</v>
      </c>
      <c r="AA167">
        <v>140.19999999999999</v>
      </c>
      <c r="AB167">
        <v>125.4</v>
      </c>
      <c r="AC167">
        <v>129.69999999999999</v>
      </c>
      <c r="AD167">
        <v>137.80000000000001</v>
      </c>
      <c r="AE167">
        <f t="shared" si="30"/>
        <v>140.6</v>
      </c>
      <c r="AF167" t="str">
        <f t="shared" si="29"/>
        <v>NA</v>
      </c>
      <c r="AG167">
        <f t="shared" si="31"/>
        <v>140.19999999999999</v>
      </c>
      <c r="AH167">
        <f t="shared" si="32"/>
        <v>136.4</v>
      </c>
      <c r="AI167">
        <f t="shared" si="33"/>
        <v>133</v>
      </c>
      <c r="AJ167">
        <f t="shared" si="33"/>
        <v>120.3</v>
      </c>
      <c r="AK167">
        <f t="shared" si="34"/>
        <v>134.94999999999999</v>
      </c>
      <c r="AL167">
        <f t="shared" si="35"/>
        <v>131.5</v>
      </c>
      <c r="AM167">
        <f t="shared" si="36"/>
        <v>149</v>
      </c>
      <c r="AN167">
        <f t="shared" si="37"/>
        <v>133.5</v>
      </c>
      <c r="AO167">
        <f t="shared" si="38"/>
        <v>135.49444444444441</v>
      </c>
    </row>
    <row r="168" spans="1:41" x14ac:dyDescent="0.45">
      <c r="A168" t="s">
        <v>33</v>
      </c>
      <c r="B168">
        <v>2017</v>
      </c>
      <c r="C168" t="s">
        <v>41</v>
      </c>
      <c r="D168">
        <v>134.4</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118.9</v>
      </c>
      <c r="W168">
        <v>127.7</v>
      </c>
      <c r="X168">
        <v>125.7</v>
      </c>
      <c r="Y168">
        <v>114.6</v>
      </c>
      <c r="Z168">
        <v>124.1</v>
      </c>
      <c r="AA168">
        <v>135.69999999999999</v>
      </c>
      <c r="AB168">
        <v>123.3</v>
      </c>
      <c r="AC168">
        <v>123.8</v>
      </c>
      <c r="AD168">
        <v>132.69999999999999</v>
      </c>
      <c r="AE168">
        <f t="shared" si="30"/>
        <v>140.5</v>
      </c>
      <c r="AF168">
        <f t="shared" si="29"/>
        <v>134.4</v>
      </c>
      <c r="AG168">
        <f t="shared" si="31"/>
        <v>135.69999999999999</v>
      </c>
      <c r="AH168">
        <f t="shared" si="32"/>
        <v>118.9</v>
      </c>
      <c r="AI168">
        <f t="shared" si="33"/>
        <v>125.7</v>
      </c>
      <c r="AJ168">
        <f t="shared" si="33"/>
        <v>114.6</v>
      </c>
      <c r="AK168">
        <f t="shared" si="34"/>
        <v>127.35</v>
      </c>
      <c r="AL168">
        <f t="shared" si="35"/>
        <v>124.1</v>
      </c>
      <c r="AM168">
        <f t="shared" si="36"/>
        <v>152.1</v>
      </c>
      <c r="AN168">
        <f t="shared" si="37"/>
        <v>125.75</v>
      </c>
      <c r="AO168">
        <f t="shared" si="38"/>
        <v>129.91000000000003</v>
      </c>
    </row>
    <row r="169" spans="1:41" x14ac:dyDescent="0.45">
      <c r="A169" t="s">
        <v>34</v>
      </c>
      <c r="B169">
        <v>2017</v>
      </c>
      <c r="C169" t="s">
        <v>41</v>
      </c>
      <c r="D169">
        <v>134.4</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129.80000000000001</v>
      </c>
      <c r="W169">
        <v>132.80000000000001</v>
      </c>
      <c r="X169">
        <v>130.19999999999999</v>
      </c>
      <c r="Y169">
        <v>117.3</v>
      </c>
      <c r="Z169">
        <v>127.3</v>
      </c>
      <c r="AA169">
        <v>137.6</v>
      </c>
      <c r="AB169">
        <v>124.5</v>
      </c>
      <c r="AC169">
        <v>126.8</v>
      </c>
      <c r="AD169">
        <v>135.4</v>
      </c>
      <c r="AE169">
        <f t="shared" si="30"/>
        <v>140.6</v>
      </c>
      <c r="AF169">
        <f t="shared" si="29"/>
        <v>134.4</v>
      </c>
      <c r="AG169">
        <f t="shared" si="31"/>
        <v>137.6</v>
      </c>
      <c r="AH169">
        <f t="shared" si="32"/>
        <v>129.80000000000001</v>
      </c>
      <c r="AI169">
        <f t="shared" si="33"/>
        <v>130.19999999999999</v>
      </c>
      <c r="AJ169">
        <f t="shared" si="33"/>
        <v>117.3</v>
      </c>
      <c r="AK169">
        <f t="shared" si="34"/>
        <v>131.9</v>
      </c>
      <c r="AL169">
        <f t="shared" si="35"/>
        <v>127.3</v>
      </c>
      <c r="AM169">
        <f t="shared" si="36"/>
        <v>149.80000000000001</v>
      </c>
      <c r="AN169">
        <f t="shared" si="37"/>
        <v>129.80000000000001</v>
      </c>
      <c r="AO169">
        <f t="shared" si="38"/>
        <v>132.87</v>
      </c>
    </row>
    <row r="170" spans="1:41" x14ac:dyDescent="0.45">
      <c r="A170" t="s">
        <v>30</v>
      </c>
      <c r="B170">
        <v>2017</v>
      </c>
      <c r="C170" t="s">
        <v>42</v>
      </c>
      <c r="D170" t="s">
        <v>32</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v>137.4</v>
      </c>
      <c r="W170">
        <v>137.9</v>
      </c>
      <c r="X170">
        <v>133.4</v>
      </c>
      <c r="Y170">
        <v>121.2</v>
      </c>
      <c r="Z170">
        <v>132.30000000000001</v>
      </c>
      <c r="AA170">
        <v>139.6</v>
      </c>
      <c r="AB170">
        <v>126.7</v>
      </c>
      <c r="AC170">
        <v>130.30000000000001</v>
      </c>
      <c r="AD170">
        <v>137.6</v>
      </c>
      <c r="AE170">
        <f t="shared" si="30"/>
        <v>139.6</v>
      </c>
      <c r="AF170" t="str">
        <f t="shared" si="29"/>
        <v>NA</v>
      </c>
      <c r="AG170">
        <f t="shared" si="31"/>
        <v>139.6</v>
      </c>
      <c r="AH170">
        <f t="shared" si="32"/>
        <v>137.4</v>
      </c>
      <c r="AI170">
        <f t="shared" si="33"/>
        <v>133.4</v>
      </c>
      <c r="AJ170">
        <f t="shared" si="33"/>
        <v>121.2</v>
      </c>
      <c r="AK170">
        <f t="shared" si="34"/>
        <v>135.94999999999999</v>
      </c>
      <c r="AL170">
        <f t="shared" si="35"/>
        <v>132.30000000000001</v>
      </c>
      <c r="AM170">
        <f t="shared" si="36"/>
        <v>149.80000000000001</v>
      </c>
      <c r="AN170">
        <f t="shared" si="37"/>
        <v>134.10000000000002</v>
      </c>
      <c r="AO170">
        <f t="shared" si="38"/>
        <v>135.92777777777778</v>
      </c>
    </row>
    <row r="171" spans="1:41" x14ac:dyDescent="0.45">
      <c r="A171" t="s">
        <v>33</v>
      </c>
      <c r="B171">
        <v>2017</v>
      </c>
      <c r="C171" t="s">
        <v>42</v>
      </c>
      <c r="D171">
        <v>135.69999999999999</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120.6</v>
      </c>
      <c r="W171">
        <v>128.1</v>
      </c>
      <c r="X171">
        <v>126.1</v>
      </c>
      <c r="Y171">
        <v>115.7</v>
      </c>
      <c r="Z171">
        <v>124.5</v>
      </c>
      <c r="AA171">
        <v>135.9</v>
      </c>
      <c r="AB171">
        <v>124.4</v>
      </c>
      <c r="AC171">
        <v>124.5</v>
      </c>
      <c r="AD171">
        <v>132.4</v>
      </c>
      <c r="AE171">
        <f t="shared" si="30"/>
        <v>138</v>
      </c>
      <c r="AF171">
        <f t="shared" si="29"/>
        <v>135.69999999999999</v>
      </c>
      <c r="AG171">
        <f t="shared" si="31"/>
        <v>135.9</v>
      </c>
      <c r="AH171">
        <f t="shared" si="32"/>
        <v>120.6</v>
      </c>
      <c r="AI171">
        <f t="shared" si="33"/>
        <v>126.1</v>
      </c>
      <c r="AJ171">
        <f t="shared" si="33"/>
        <v>115.7</v>
      </c>
      <c r="AK171">
        <f t="shared" si="34"/>
        <v>128.19999999999999</v>
      </c>
      <c r="AL171">
        <f t="shared" si="35"/>
        <v>124.5</v>
      </c>
      <c r="AM171">
        <f t="shared" si="36"/>
        <v>153.6</v>
      </c>
      <c r="AN171">
        <f t="shared" si="37"/>
        <v>126.3</v>
      </c>
      <c r="AO171">
        <f t="shared" si="38"/>
        <v>130.45999999999998</v>
      </c>
    </row>
    <row r="172" spans="1:41" x14ac:dyDescent="0.45">
      <c r="A172" t="s">
        <v>34</v>
      </c>
      <c r="B172">
        <v>2017</v>
      </c>
      <c r="C172" t="s">
        <v>42</v>
      </c>
      <c r="D172">
        <v>135.69999999999999</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131</v>
      </c>
      <c r="W172">
        <v>133.30000000000001</v>
      </c>
      <c r="X172">
        <v>130.6</v>
      </c>
      <c r="Y172">
        <v>118.3</v>
      </c>
      <c r="Z172">
        <v>127.9</v>
      </c>
      <c r="AA172">
        <v>137.4</v>
      </c>
      <c r="AB172">
        <v>125.7</v>
      </c>
      <c r="AC172">
        <v>127.5</v>
      </c>
      <c r="AD172">
        <v>135.19999999999999</v>
      </c>
      <c r="AE172">
        <f t="shared" si="30"/>
        <v>139</v>
      </c>
      <c r="AF172">
        <f t="shared" si="29"/>
        <v>135.69999999999999</v>
      </c>
      <c r="AG172">
        <f t="shared" si="31"/>
        <v>137.4</v>
      </c>
      <c r="AH172">
        <f t="shared" si="32"/>
        <v>131</v>
      </c>
      <c r="AI172">
        <f t="shared" si="33"/>
        <v>130.6</v>
      </c>
      <c r="AJ172">
        <f t="shared" si="33"/>
        <v>118.3</v>
      </c>
      <c r="AK172">
        <f t="shared" si="34"/>
        <v>132.85</v>
      </c>
      <c r="AL172">
        <f t="shared" si="35"/>
        <v>127.9</v>
      </c>
      <c r="AM172">
        <f t="shared" si="36"/>
        <v>150.80000000000001</v>
      </c>
      <c r="AN172">
        <f t="shared" si="37"/>
        <v>130.4</v>
      </c>
      <c r="AO172">
        <f t="shared" si="38"/>
        <v>133.39500000000001</v>
      </c>
    </row>
    <row r="173" spans="1:41" x14ac:dyDescent="0.45">
      <c r="A173" t="s">
        <v>30</v>
      </c>
      <c r="B173">
        <v>2017</v>
      </c>
      <c r="C173" t="s">
        <v>43</v>
      </c>
      <c r="D173" t="s">
        <v>32</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v>138.1</v>
      </c>
      <c r="W173">
        <v>138.4</v>
      </c>
      <c r="X173">
        <v>134.19999999999999</v>
      </c>
      <c r="Y173">
        <v>121</v>
      </c>
      <c r="Z173">
        <v>133</v>
      </c>
      <c r="AA173">
        <v>140.1</v>
      </c>
      <c r="AB173">
        <v>127.4</v>
      </c>
      <c r="AC173">
        <v>130.69999999999999</v>
      </c>
      <c r="AD173">
        <v>138.30000000000001</v>
      </c>
      <c r="AE173">
        <f t="shared" si="30"/>
        <v>140.4</v>
      </c>
      <c r="AF173" t="str">
        <f t="shared" si="29"/>
        <v>NA</v>
      </c>
      <c r="AG173">
        <f t="shared" si="31"/>
        <v>140.1</v>
      </c>
      <c r="AH173">
        <f t="shared" si="32"/>
        <v>138.1</v>
      </c>
      <c r="AI173">
        <f t="shared" si="33"/>
        <v>134.19999999999999</v>
      </c>
      <c r="AJ173">
        <f t="shared" si="33"/>
        <v>121</v>
      </c>
      <c r="AK173">
        <f t="shared" si="34"/>
        <v>136.80000000000001</v>
      </c>
      <c r="AL173">
        <f t="shared" si="35"/>
        <v>133</v>
      </c>
      <c r="AM173">
        <f t="shared" si="36"/>
        <v>150.5</v>
      </c>
      <c r="AN173">
        <f t="shared" si="37"/>
        <v>134.55000000000001</v>
      </c>
      <c r="AO173">
        <f t="shared" si="38"/>
        <v>136.51666666666665</v>
      </c>
    </row>
    <row r="174" spans="1:41" x14ac:dyDescent="0.45">
      <c r="A174" t="s">
        <v>33</v>
      </c>
      <c r="B174">
        <v>2017</v>
      </c>
      <c r="C174" t="s">
        <v>43</v>
      </c>
      <c r="D174">
        <v>137.30000000000001</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122.6</v>
      </c>
      <c r="W174">
        <v>128.30000000000001</v>
      </c>
      <c r="X174">
        <v>126.6</v>
      </c>
      <c r="Y174">
        <v>115</v>
      </c>
      <c r="Z174">
        <v>124.8</v>
      </c>
      <c r="AA174">
        <v>136.30000000000001</v>
      </c>
      <c r="AB174">
        <v>124.6</v>
      </c>
      <c r="AC174">
        <v>124.5</v>
      </c>
      <c r="AD174">
        <v>133.5</v>
      </c>
      <c r="AE174">
        <f t="shared" si="30"/>
        <v>139.69999999999999</v>
      </c>
      <c r="AF174">
        <f t="shared" si="29"/>
        <v>137.30000000000001</v>
      </c>
      <c r="AG174">
        <f t="shared" si="31"/>
        <v>136.30000000000001</v>
      </c>
      <c r="AH174">
        <f t="shared" si="32"/>
        <v>122.6</v>
      </c>
      <c r="AI174">
        <f t="shared" si="33"/>
        <v>126.6</v>
      </c>
      <c r="AJ174">
        <f t="shared" si="33"/>
        <v>115</v>
      </c>
      <c r="AK174">
        <f t="shared" si="34"/>
        <v>128.6</v>
      </c>
      <c r="AL174">
        <f t="shared" si="35"/>
        <v>124.8</v>
      </c>
      <c r="AM174">
        <f t="shared" si="36"/>
        <v>154.6</v>
      </c>
      <c r="AN174">
        <f t="shared" si="37"/>
        <v>126.4</v>
      </c>
      <c r="AO174">
        <f t="shared" si="38"/>
        <v>131.19</v>
      </c>
    </row>
    <row r="175" spans="1:41" x14ac:dyDescent="0.45">
      <c r="A175" t="s">
        <v>34</v>
      </c>
      <c r="B175">
        <v>2017</v>
      </c>
      <c r="C175" t="s">
        <v>43</v>
      </c>
      <c r="D175">
        <v>137.30000000000001</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132.19999999999999</v>
      </c>
      <c r="W175">
        <v>133.6</v>
      </c>
      <c r="X175">
        <v>131.30000000000001</v>
      </c>
      <c r="Y175">
        <v>117.8</v>
      </c>
      <c r="Z175">
        <v>128.4</v>
      </c>
      <c r="AA175">
        <v>137.9</v>
      </c>
      <c r="AB175">
        <v>126.2</v>
      </c>
      <c r="AC175">
        <v>127.7</v>
      </c>
      <c r="AD175">
        <v>136.1</v>
      </c>
      <c r="AE175">
        <f t="shared" si="30"/>
        <v>140.1</v>
      </c>
      <c r="AF175">
        <f t="shared" si="29"/>
        <v>137.30000000000001</v>
      </c>
      <c r="AG175">
        <f t="shared" si="31"/>
        <v>137.9</v>
      </c>
      <c r="AH175">
        <f t="shared" si="32"/>
        <v>132.19999999999999</v>
      </c>
      <c r="AI175">
        <f t="shared" si="33"/>
        <v>131.30000000000001</v>
      </c>
      <c r="AJ175">
        <f t="shared" si="33"/>
        <v>117.8</v>
      </c>
      <c r="AK175">
        <f t="shared" si="34"/>
        <v>133.5</v>
      </c>
      <c r="AL175">
        <f t="shared" si="35"/>
        <v>128.4</v>
      </c>
      <c r="AM175">
        <f t="shared" si="36"/>
        <v>151.6</v>
      </c>
      <c r="AN175">
        <f t="shared" si="37"/>
        <v>130.65</v>
      </c>
      <c r="AO175">
        <f t="shared" si="38"/>
        <v>134.07499999999999</v>
      </c>
    </row>
    <row r="176" spans="1:41" x14ac:dyDescent="0.45">
      <c r="A176" t="s">
        <v>30</v>
      </c>
      <c r="B176">
        <v>2017</v>
      </c>
      <c r="C176" t="s">
        <v>45</v>
      </c>
      <c r="D176" t="s">
        <v>32</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v>141.1</v>
      </c>
      <c r="W176">
        <v>139.4</v>
      </c>
      <c r="X176">
        <v>135.80000000000001</v>
      </c>
      <c r="Y176">
        <v>121.6</v>
      </c>
      <c r="Z176">
        <v>133.69999999999999</v>
      </c>
      <c r="AA176">
        <v>141.5</v>
      </c>
      <c r="AB176">
        <v>128.1</v>
      </c>
      <c r="AC176">
        <v>131.69999999999999</v>
      </c>
      <c r="AD176">
        <v>140</v>
      </c>
      <c r="AE176">
        <f t="shared" si="30"/>
        <v>142.4</v>
      </c>
      <c r="AF176" t="str">
        <f t="shared" si="29"/>
        <v>NA</v>
      </c>
      <c r="AG176">
        <f t="shared" si="31"/>
        <v>141.5</v>
      </c>
      <c r="AH176">
        <f t="shared" si="32"/>
        <v>141.1</v>
      </c>
      <c r="AI176">
        <f t="shared" si="33"/>
        <v>135.80000000000001</v>
      </c>
      <c r="AJ176">
        <f t="shared" si="33"/>
        <v>121.6</v>
      </c>
      <c r="AK176">
        <f t="shared" si="34"/>
        <v>137.69999999999999</v>
      </c>
      <c r="AL176">
        <f t="shared" si="35"/>
        <v>133.69999999999999</v>
      </c>
      <c r="AM176">
        <f t="shared" si="36"/>
        <v>152.1</v>
      </c>
      <c r="AN176">
        <f t="shared" si="37"/>
        <v>135.55000000000001</v>
      </c>
      <c r="AO176">
        <f t="shared" si="38"/>
        <v>137.93888888888887</v>
      </c>
    </row>
    <row r="177" spans="1:41" x14ac:dyDescent="0.45">
      <c r="A177" t="s">
        <v>33</v>
      </c>
      <c r="B177">
        <v>2017</v>
      </c>
      <c r="C177" t="s">
        <v>45</v>
      </c>
      <c r="D177">
        <v>138.6</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125.7</v>
      </c>
      <c r="W177">
        <v>128.80000000000001</v>
      </c>
      <c r="X177">
        <v>127.4</v>
      </c>
      <c r="Y177">
        <v>115.3</v>
      </c>
      <c r="Z177">
        <v>125.1</v>
      </c>
      <c r="AA177">
        <v>136.6</v>
      </c>
      <c r="AB177">
        <v>124.9</v>
      </c>
      <c r="AC177">
        <v>124.9</v>
      </c>
      <c r="AD177">
        <v>134.80000000000001</v>
      </c>
      <c r="AE177">
        <f t="shared" si="30"/>
        <v>141.5</v>
      </c>
      <c r="AF177">
        <f t="shared" si="29"/>
        <v>138.6</v>
      </c>
      <c r="AG177">
        <f t="shared" si="31"/>
        <v>136.6</v>
      </c>
      <c r="AH177">
        <f t="shared" si="32"/>
        <v>125.7</v>
      </c>
      <c r="AI177">
        <f t="shared" si="33"/>
        <v>127.4</v>
      </c>
      <c r="AJ177">
        <f t="shared" si="33"/>
        <v>115.3</v>
      </c>
      <c r="AK177">
        <f t="shared" si="34"/>
        <v>129.19999999999999</v>
      </c>
      <c r="AL177">
        <f t="shared" si="35"/>
        <v>125.1</v>
      </c>
      <c r="AM177">
        <f t="shared" si="36"/>
        <v>156.19999999999999</v>
      </c>
      <c r="AN177">
        <f t="shared" si="37"/>
        <v>126.85000000000001</v>
      </c>
      <c r="AO177">
        <f t="shared" si="38"/>
        <v>132.24499999999998</v>
      </c>
    </row>
    <row r="178" spans="1:41" x14ac:dyDescent="0.45">
      <c r="A178" t="s">
        <v>34</v>
      </c>
      <c r="B178">
        <v>2017</v>
      </c>
      <c r="C178" t="s">
        <v>45</v>
      </c>
      <c r="D178">
        <v>138.6</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135.30000000000001</v>
      </c>
      <c r="W178">
        <v>134.4</v>
      </c>
      <c r="X178">
        <v>132.6</v>
      </c>
      <c r="Y178">
        <v>118.3</v>
      </c>
      <c r="Z178">
        <v>128.9</v>
      </c>
      <c r="AA178">
        <v>138.6</v>
      </c>
      <c r="AB178">
        <v>126.8</v>
      </c>
      <c r="AC178">
        <v>128.4</v>
      </c>
      <c r="AD178">
        <v>137.6</v>
      </c>
      <c r="AE178">
        <f t="shared" si="30"/>
        <v>142.1</v>
      </c>
      <c r="AF178">
        <f t="shared" si="29"/>
        <v>138.6</v>
      </c>
      <c r="AG178">
        <f t="shared" si="31"/>
        <v>138.6</v>
      </c>
      <c r="AH178">
        <f t="shared" si="32"/>
        <v>135.30000000000001</v>
      </c>
      <c r="AI178">
        <f t="shared" si="33"/>
        <v>132.6</v>
      </c>
      <c r="AJ178">
        <f t="shared" si="33"/>
        <v>118.3</v>
      </c>
      <c r="AK178">
        <f t="shared" si="34"/>
        <v>134.30000000000001</v>
      </c>
      <c r="AL178">
        <f t="shared" si="35"/>
        <v>128.9</v>
      </c>
      <c r="AM178">
        <f t="shared" si="36"/>
        <v>153.19999999999999</v>
      </c>
      <c r="AN178">
        <f t="shared" si="37"/>
        <v>131.4</v>
      </c>
      <c r="AO178">
        <f t="shared" si="38"/>
        <v>135.33000000000001</v>
      </c>
    </row>
    <row r="179" spans="1:41" x14ac:dyDescent="0.45">
      <c r="A179" t="s">
        <v>30</v>
      </c>
      <c r="B179">
        <v>2017</v>
      </c>
      <c r="C179" t="s">
        <v>46</v>
      </c>
      <c r="D179" t="s">
        <v>32</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v>142.6</v>
      </c>
      <c r="W179">
        <v>139.5</v>
      </c>
      <c r="X179">
        <v>136.1</v>
      </c>
      <c r="Y179">
        <v>122</v>
      </c>
      <c r="Z179">
        <v>133.4</v>
      </c>
      <c r="AA179">
        <v>141.1</v>
      </c>
      <c r="AB179">
        <v>127.8</v>
      </c>
      <c r="AC179">
        <v>131.9</v>
      </c>
      <c r="AD179">
        <v>139.80000000000001</v>
      </c>
      <c r="AE179">
        <f t="shared" si="30"/>
        <v>141.5</v>
      </c>
      <c r="AF179" t="str">
        <f t="shared" si="29"/>
        <v>NA</v>
      </c>
      <c r="AG179">
        <f t="shared" si="31"/>
        <v>141.1</v>
      </c>
      <c r="AH179">
        <f t="shared" si="32"/>
        <v>142.6</v>
      </c>
      <c r="AI179">
        <f t="shared" si="33"/>
        <v>136.1</v>
      </c>
      <c r="AJ179">
        <f t="shared" si="33"/>
        <v>122</v>
      </c>
      <c r="AK179">
        <f t="shared" si="34"/>
        <v>137.5</v>
      </c>
      <c r="AL179">
        <f t="shared" si="35"/>
        <v>133.4</v>
      </c>
      <c r="AM179">
        <f t="shared" si="36"/>
        <v>153.19999999999999</v>
      </c>
      <c r="AN179">
        <f t="shared" si="37"/>
        <v>135.69999999999999</v>
      </c>
      <c r="AO179">
        <f t="shared" si="38"/>
        <v>138.12222222222223</v>
      </c>
    </row>
    <row r="180" spans="1:41" x14ac:dyDescent="0.45">
      <c r="A180" t="s">
        <v>33</v>
      </c>
      <c r="B180">
        <v>2017</v>
      </c>
      <c r="C180" t="s">
        <v>46</v>
      </c>
      <c r="D180">
        <v>139.1</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126.8</v>
      </c>
      <c r="W180">
        <v>129.30000000000001</v>
      </c>
      <c r="X180">
        <v>128.19999999999999</v>
      </c>
      <c r="Y180">
        <v>115.3</v>
      </c>
      <c r="Z180">
        <v>125.6</v>
      </c>
      <c r="AA180">
        <v>136.69999999999999</v>
      </c>
      <c r="AB180">
        <v>124.6</v>
      </c>
      <c r="AC180">
        <v>125.1</v>
      </c>
      <c r="AD180">
        <v>134.1</v>
      </c>
      <c r="AE180">
        <f t="shared" si="30"/>
        <v>138.80000000000001</v>
      </c>
      <c r="AF180">
        <f t="shared" si="29"/>
        <v>139.1</v>
      </c>
      <c r="AG180">
        <f t="shared" si="31"/>
        <v>136.69999999999999</v>
      </c>
      <c r="AH180">
        <f t="shared" si="32"/>
        <v>126.8</v>
      </c>
      <c r="AI180">
        <f t="shared" si="33"/>
        <v>128.19999999999999</v>
      </c>
      <c r="AJ180">
        <f t="shared" si="33"/>
        <v>115.3</v>
      </c>
      <c r="AK180">
        <f t="shared" si="34"/>
        <v>129.30000000000001</v>
      </c>
      <c r="AL180">
        <f t="shared" si="35"/>
        <v>125.6</v>
      </c>
      <c r="AM180">
        <f t="shared" si="36"/>
        <v>157</v>
      </c>
      <c r="AN180">
        <f t="shared" si="37"/>
        <v>127.2</v>
      </c>
      <c r="AO180">
        <f t="shared" si="38"/>
        <v>132.39999999999998</v>
      </c>
    </row>
    <row r="181" spans="1:41" x14ac:dyDescent="0.45">
      <c r="A181" t="s">
        <v>34</v>
      </c>
      <c r="B181">
        <v>2017</v>
      </c>
      <c r="C181" t="s">
        <v>46</v>
      </c>
      <c r="D181">
        <v>139.1</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136.6</v>
      </c>
      <c r="W181">
        <v>134.69999999999999</v>
      </c>
      <c r="X181">
        <v>133.1</v>
      </c>
      <c r="Y181">
        <v>118.5</v>
      </c>
      <c r="Z181">
        <v>129</v>
      </c>
      <c r="AA181">
        <v>138.5</v>
      </c>
      <c r="AB181">
        <v>126.5</v>
      </c>
      <c r="AC181">
        <v>128.6</v>
      </c>
      <c r="AD181">
        <v>137.19999999999999</v>
      </c>
      <c r="AE181">
        <f t="shared" si="30"/>
        <v>140.5</v>
      </c>
      <c r="AF181">
        <f t="shared" si="29"/>
        <v>139.1</v>
      </c>
      <c r="AG181">
        <f t="shared" si="31"/>
        <v>138.5</v>
      </c>
      <c r="AH181">
        <f t="shared" si="32"/>
        <v>136.6</v>
      </c>
      <c r="AI181">
        <f t="shared" si="33"/>
        <v>133.1</v>
      </c>
      <c r="AJ181">
        <f t="shared" si="33"/>
        <v>118.5</v>
      </c>
      <c r="AK181">
        <f t="shared" si="34"/>
        <v>134.25</v>
      </c>
      <c r="AL181">
        <f t="shared" si="35"/>
        <v>129</v>
      </c>
      <c r="AM181">
        <f t="shared" si="36"/>
        <v>154.19999999999999</v>
      </c>
      <c r="AN181">
        <f t="shared" si="37"/>
        <v>131.64999999999998</v>
      </c>
      <c r="AO181">
        <f t="shared" si="38"/>
        <v>135.54000000000002</v>
      </c>
    </row>
    <row r="182" spans="1:41" x14ac:dyDescent="0.45">
      <c r="A182" t="s">
        <v>30</v>
      </c>
      <c r="B182">
        <v>2018</v>
      </c>
      <c r="C182" t="s">
        <v>31</v>
      </c>
      <c r="D182" t="s">
        <v>32</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v>142.30000000000001</v>
      </c>
      <c r="W182">
        <v>139.80000000000001</v>
      </c>
      <c r="X182">
        <v>136</v>
      </c>
      <c r="Y182">
        <v>122.7</v>
      </c>
      <c r="Z182">
        <v>134.30000000000001</v>
      </c>
      <c r="AA182">
        <v>141.6</v>
      </c>
      <c r="AB182">
        <v>128.6</v>
      </c>
      <c r="AC182">
        <v>132.30000000000001</v>
      </c>
      <c r="AD182">
        <v>139.30000000000001</v>
      </c>
      <c r="AE182">
        <f t="shared" si="30"/>
        <v>140.4</v>
      </c>
      <c r="AF182" t="str">
        <f t="shared" si="29"/>
        <v>NA</v>
      </c>
      <c r="AG182">
        <f t="shared" si="31"/>
        <v>141.6</v>
      </c>
      <c r="AH182">
        <f t="shared" si="32"/>
        <v>142.30000000000001</v>
      </c>
      <c r="AI182">
        <f t="shared" si="33"/>
        <v>136</v>
      </c>
      <c r="AJ182">
        <f t="shared" si="33"/>
        <v>122.7</v>
      </c>
      <c r="AK182">
        <f t="shared" si="34"/>
        <v>138.05000000000001</v>
      </c>
      <c r="AL182">
        <f t="shared" si="35"/>
        <v>134.30000000000001</v>
      </c>
      <c r="AM182">
        <f t="shared" si="36"/>
        <v>153.6</v>
      </c>
      <c r="AN182">
        <f t="shared" si="37"/>
        <v>136.05000000000001</v>
      </c>
      <c r="AO182">
        <f t="shared" si="38"/>
        <v>138.33333333333331</v>
      </c>
    </row>
    <row r="183" spans="1:41" x14ac:dyDescent="0.45">
      <c r="A183" t="s">
        <v>33</v>
      </c>
      <c r="B183">
        <v>2018</v>
      </c>
      <c r="C183" t="s">
        <v>31</v>
      </c>
      <c r="D183">
        <v>140.4</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127.3</v>
      </c>
      <c r="W183">
        <v>129.5</v>
      </c>
      <c r="X183">
        <v>129</v>
      </c>
      <c r="Y183">
        <v>116.3</v>
      </c>
      <c r="Z183">
        <v>126.2</v>
      </c>
      <c r="AA183">
        <v>137.1</v>
      </c>
      <c r="AB183">
        <v>125.5</v>
      </c>
      <c r="AC183">
        <v>125.8</v>
      </c>
      <c r="AD183">
        <v>134.1</v>
      </c>
      <c r="AE183">
        <f t="shared" si="30"/>
        <v>137.19999999999999</v>
      </c>
      <c r="AF183">
        <f t="shared" si="29"/>
        <v>140.4</v>
      </c>
      <c r="AG183">
        <f t="shared" si="31"/>
        <v>137.1</v>
      </c>
      <c r="AH183">
        <f t="shared" si="32"/>
        <v>127.3</v>
      </c>
      <c r="AI183">
        <f t="shared" si="33"/>
        <v>129</v>
      </c>
      <c r="AJ183">
        <f t="shared" si="33"/>
        <v>116.3</v>
      </c>
      <c r="AK183">
        <f t="shared" si="34"/>
        <v>129.94999999999999</v>
      </c>
      <c r="AL183">
        <f t="shared" si="35"/>
        <v>126.2</v>
      </c>
      <c r="AM183">
        <f t="shared" si="36"/>
        <v>157.69999999999999</v>
      </c>
      <c r="AN183">
        <f t="shared" si="37"/>
        <v>127.65</v>
      </c>
      <c r="AO183">
        <f t="shared" si="38"/>
        <v>132.88000000000002</v>
      </c>
    </row>
    <row r="184" spans="1:41" x14ac:dyDescent="0.45">
      <c r="A184" t="s">
        <v>34</v>
      </c>
      <c r="B184">
        <v>2018</v>
      </c>
      <c r="C184" t="s">
        <v>31</v>
      </c>
      <c r="D184">
        <v>140.4</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136.6</v>
      </c>
      <c r="W184">
        <v>134.9</v>
      </c>
      <c r="X184">
        <v>133.30000000000001</v>
      </c>
      <c r="Y184">
        <v>119.3</v>
      </c>
      <c r="Z184">
        <v>129.69999999999999</v>
      </c>
      <c r="AA184">
        <v>139</v>
      </c>
      <c r="AB184">
        <v>127.3</v>
      </c>
      <c r="AC184">
        <v>129.1</v>
      </c>
      <c r="AD184">
        <v>136.9</v>
      </c>
      <c r="AE184">
        <f t="shared" si="30"/>
        <v>139.19999999999999</v>
      </c>
      <c r="AF184">
        <f t="shared" si="29"/>
        <v>140.4</v>
      </c>
      <c r="AG184">
        <f t="shared" si="31"/>
        <v>139</v>
      </c>
      <c r="AH184">
        <f t="shared" si="32"/>
        <v>136.6</v>
      </c>
      <c r="AI184">
        <f t="shared" si="33"/>
        <v>133.30000000000001</v>
      </c>
      <c r="AJ184">
        <f t="shared" si="33"/>
        <v>119.3</v>
      </c>
      <c r="AK184">
        <f t="shared" si="34"/>
        <v>134.80000000000001</v>
      </c>
      <c r="AL184">
        <f t="shared" si="35"/>
        <v>129.69999999999999</v>
      </c>
      <c r="AM184">
        <f t="shared" si="36"/>
        <v>154.69999999999999</v>
      </c>
      <c r="AN184">
        <f t="shared" si="37"/>
        <v>132</v>
      </c>
      <c r="AO184">
        <f t="shared" si="38"/>
        <v>135.9</v>
      </c>
    </row>
    <row r="185" spans="1:41" x14ac:dyDescent="0.45">
      <c r="A185" t="s">
        <v>30</v>
      </c>
      <c r="B185">
        <v>2018</v>
      </c>
      <c r="C185" t="s">
        <v>35</v>
      </c>
      <c r="D185" t="s">
        <v>32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v>142.4</v>
      </c>
      <c r="W185">
        <v>139.9</v>
      </c>
      <c r="X185">
        <v>136.19999999999999</v>
      </c>
      <c r="Y185">
        <v>123.3</v>
      </c>
      <c r="Z185">
        <v>134.30000000000001</v>
      </c>
      <c r="AA185">
        <v>141.5</v>
      </c>
      <c r="AB185">
        <v>128.80000000000001</v>
      </c>
      <c r="AC185">
        <v>132.5</v>
      </c>
      <c r="AD185">
        <v>138.5</v>
      </c>
      <c r="AE185">
        <f t="shared" si="30"/>
        <v>138.69999999999999</v>
      </c>
      <c r="AF185" t="str">
        <f t="shared" si="29"/>
        <v>NA</v>
      </c>
      <c r="AG185">
        <f t="shared" si="31"/>
        <v>141.5</v>
      </c>
      <c r="AH185">
        <f t="shared" si="32"/>
        <v>142.4</v>
      </c>
      <c r="AI185">
        <f t="shared" si="33"/>
        <v>136.19999999999999</v>
      </c>
      <c r="AJ185">
        <f t="shared" si="33"/>
        <v>123.3</v>
      </c>
      <c r="AK185">
        <f t="shared" si="34"/>
        <v>138.30000000000001</v>
      </c>
      <c r="AL185">
        <f t="shared" si="35"/>
        <v>134.30000000000001</v>
      </c>
      <c r="AM185">
        <f t="shared" si="36"/>
        <v>153.30000000000001</v>
      </c>
      <c r="AN185">
        <f t="shared" si="37"/>
        <v>136.19999999999999</v>
      </c>
      <c r="AO185">
        <f t="shared" si="38"/>
        <v>138.24444444444441</v>
      </c>
    </row>
    <row r="186" spans="1:41" x14ac:dyDescent="0.45">
      <c r="A186" t="s">
        <v>33</v>
      </c>
      <c r="B186">
        <v>2018</v>
      </c>
      <c r="C186" t="s">
        <v>35</v>
      </c>
      <c r="D186">
        <v>141.30000000000001</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127.3</v>
      </c>
      <c r="W186">
        <v>129.9</v>
      </c>
      <c r="X186">
        <v>129.80000000000001</v>
      </c>
      <c r="Y186">
        <v>117.4</v>
      </c>
      <c r="Z186">
        <v>126.5</v>
      </c>
      <c r="AA186">
        <v>137.19999999999999</v>
      </c>
      <c r="AB186">
        <v>126.2</v>
      </c>
      <c r="AC186">
        <v>126.5</v>
      </c>
      <c r="AD186">
        <v>134</v>
      </c>
      <c r="AE186">
        <f t="shared" si="30"/>
        <v>135.6</v>
      </c>
      <c r="AF186">
        <f t="shared" si="29"/>
        <v>141.30000000000001</v>
      </c>
      <c r="AG186">
        <f t="shared" si="31"/>
        <v>137.19999999999999</v>
      </c>
      <c r="AH186">
        <f t="shared" si="32"/>
        <v>127.3</v>
      </c>
      <c r="AI186">
        <f t="shared" si="33"/>
        <v>129.80000000000001</v>
      </c>
      <c r="AJ186">
        <f t="shared" si="33"/>
        <v>117.4</v>
      </c>
      <c r="AK186">
        <f t="shared" si="34"/>
        <v>130.44999999999999</v>
      </c>
      <c r="AL186">
        <f t="shared" si="35"/>
        <v>126.5</v>
      </c>
      <c r="AM186">
        <f t="shared" si="36"/>
        <v>159.30000000000001</v>
      </c>
      <c r="AN186">
        <f t="shared" si="37"/>
        <v>128.19999999999999</v>
      </c>
      <c r="AO186">
        <f t="shared" si="38"/>
        <v>133.30500000000001</v>
      </c>
    </row>
    <row r="187" spans="1:41" x14ac:dyDescent="0.45">
      <c r="A187" t="s">
        <v>34</v>
      </c>
      <c r="B187">
        <v>2018</v>
      </c>
      <c r="C187" t="s">
        <v>35</v>
      </c>
      <c r="D187">
        <v>141.30000000000001</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136.69999999999999</v>
      </c>
      <c r="W187">
        <v>135.19999999999999</v>
      </c>
      <c r="X187">
        <v>133.80000000000001</v>
      </c>
      <c r="Y187">
        <v>120.2</v>
      </c>
      <c r="Z187">
        <v>129.9</v>
      </c>
      <c r="AA187">
        <v>139</v>
      </c>
      <c r="AB187">
        <v>127.7</v>
      </c>
      <c r="AC187">
        <v>129.6</v>
      </c>
      <c r="AD187">
        <v>136.4</v>
      </c>
      <c r="AE187">
        <f t="shared" si="30"/>
        <v>137.6</v>
      </c>
      <c r="AF187">
        <f t="shared" si="29"/>
        <v>141.30000000000001</v>
      </c>
      <c r="AG187">
        <f t="shared" si="31"/>
        <v>139</v>
      </c>
      <c r="AH187">
        <f t="shared" si="32"/>
        <v>136.69999999999999</v>
      </c>
      <c r="AI187">
        <f t="shared" si="33"/>
        <v>133.80000000000001</v>
      </c>
      <c r="AJ187">
        <f t="shared" si="33"/>
        <v>120.2</v>
      </c>
      <c r="AK187">
        <f t="shared" si="34"/>
        <v>135.15</v>
      </c>
      <c r="AL187">
        <f t="shared" si="35"/>
        <v>129.9</v>
      </c>
      <c r="AM187">
        <f t="shared" si="36"/>
        <v>154.9</v>
      </c>
      <c r="AN187">
        <f t="shared" si="37"/>
        <v>132.39999999999998</v>
      </c>
      <c r="AO187">
        <f t="shared" si="38"/>
        <v>136.09499999999997</v>
      </c>
    </row>
    <row r="188" spans="1:41" x14ac:dyDescent="0.45">
      <c r="A188" t="s">
        <v>30</v>
      </c>
      <c r="B188">
        <v>2018</v>
      </c>
      <c r="C188" t="s">
        <v>36</v>
      </c>
      <c r="D188" t="s">
        <v>32</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v>142.6</v>
      </c>
      <c r="W188">
        <v>139.9</v>
      </c>
      <c r="X188">
        <v>136.69999999999999</v>
      </c>
      <c r="Y188">
        <v>124.6</v>
      </c>
      <c r="Z188">
        <v>135.1</v>
      </c>
      <c r="AA188">
        <v>142.69999999999999</v>
      </c>
      <c r="AB188">
        <v>129.30000000000001</v>
      </c>
      <c r="AC188">
        <v>133.30000000000001</v>
      </c>
      <c r="AD188">
        <v>138.69999999999999</v>
      </c>
      <c r="AE188">
        <f t="shared" si="30"/>
        <v>138.6</v>
      </c>
      <c r="AF188" t="str">
        <f t="shared" si="29"/>
        <v>NA</v>
      </c>
      <c r="AG188">
        <f t="shared" si="31"/>
        <v>142.69999999999999</v>
      </c>
      <c r="AH188">
        <f t="shared" si="32"/>
        <v>142.6</v>
      </c>
      <c r="AI188">
        <f t="shared" si="33"/>
        <v>136.69999999999999</v>
      </c>
      <c r="AJ188">
        <f t="shared" si="33"/>
        <v>124.6</v>
      </c>
      <c r="AK188">
        <f t="shared" si="34"/>
        <v>138.80000000000001</v>
      </c>
      <c r="AL188">
        <f t="shared" si="35"/>
        <v>135.1</v>
      </c>
      <c r="AM188">
        <f t="shared" si="36"/>
        <v>155.1</v>
      </c>
      <c r="AN188">
        <f t="shared" si="37"/>
        <v>136.60000000000002</v>
      </c>
      <c r="AO188">
        <f t="shared" si="38"/>
        <v>138.97777777777779</v>
      </c>
    </row>
    <row r="189" spans="1:41" x14ac:dyDescent="0.45">
      <c r="A189" t="s">
        <v>33</v>
      </c>
      <c r="B189">
        <v>2018</v>
      </c>
      <c r="C189" t="s">
        <v>36</v>
      </c>
      <c r="D189">
        <v>142</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126.4</v>
      </c>
      <c r="W189">
        <v>130.80000000000001</v>
      </c>
      <c r="X189">
        <v>130.5</v>
      </c>
      <c r="Y189">
        <v>117.8</v>
      </c>
      <c r="Z189">
        <v>126.8</v>
      </c>
      <c r="AA189">
        <v>137.80000000000001</v>
      </c>
      <c r="AB189">
        <v>126.7</v>
      </c>
      <c r="AC189">
        <v>127.1</v>
      </c>
      <c r="AD189">
        <v>134</v>
      </c>
      <c r="AE189">
        <f t="shared" si="30"/>
        <v>134.80000000000001</v>
      </c>
      <c r="AF189">
        <f t="shared" si="29"/>
        <v>142</v>
      </c>
      <c r="AG189">
        <f t="shared" si="31"/>
        <v>137.80000000000001</v>
      </c>
      <c r="AH189">
        <f t="shared" si="32"/>
        <v>126.4</v>
      </c>
      <c r="AI189">
        <f t="shared" si="33"/>
        <v>130.5</v>
      </c>
      <c r="AJ189">
        <f t="shared" si="33"/>
        <v>117.8</v>
      </c>
      <c r="AK189">
        <f t="shared" si="34"/>
        <v>130.94999999999999</v>
      </c>
      <c r="AL189">
        <f t="shared" si="35"/>
        <v>126.8</v>
      </c>
      <c r="AM189">
        <f t="shared" si="36"/>
        <v>159.69999999999999</v>
      </c>
      <c r="AN189">
        <f t="shared" si="37"/>
        <v>128.94999999999999</v>
      </c>
      <c r="AO189">
        <f t="shared" si="38"/>
        <v>133.57</v>
      </c>
    </row>
    <row r="190" spans="1:41" x14ac:dyDescent="0.45">
      <c r="A190" t="s">
        <v>34</v>
      </c>
      <c r="B190">
        <v>2018</v>
      </c>
      <c r="C190" t="s">
        <v>36</v>
      </c>
      <c r="D190">
        <v>142</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136.5</v>
      </c>
      <c r="W190">
        <v>135.6</v>
      </c>
      <c r="X190">
        <v>134.30000000000001</v>
      </c>
      <c r="Y190">
        <v>121</v>
      </c>
      <c r="Z190">
        <v>130.4</v>
      </c>
      <c r="AA190">
        <v>139.80000000000001</v>
      </c>
      <c r="AB190">
        <v>128.19999999999999</v>
      </c>
      <c r="AC190">
        <v>130.30000000000001</v>
      </c>
      <c r="AD190">
        <v>136.5</v>
      </c>
      <c r="AE190">
        <f t="shared" si="30"/>
        <v>137.19999999999999</v>
      </c>
      <c r="AF190">
        <f t="shared" si="29"/>
        <v>142</v>
      </c>
      <c r="AG190">
        <f t="shared" si="31"/>
        <v>139.80000000000001</v>
      </c>
      <c r="AH190">
        <f t="shared" si="32"/>
        <v>136.5</v>
      </c>
      <c r="AI190">
        <f t="shared" si="33"/>
        <v>134.30000000000001</v>
      </c>
      <c r="AJ190">
        <f t="shared" si="33"/>
        <v>121</v>
      </c>
      <c r="AK190">
        <f t="shared" si="34"/>
        <v>135.64999999999998</v>
      </c>
      <c r="AL190">
        <f t="shared" si="35"/>
        <v>130.4</v>
      </c>
      <c r="AM190">
        <f t="shared" si="36"/>
        <v>156.30000000000001</v>
      </c>
      <c r="AN190">
        <f t="shared" si="37"/>
        <v>132.94999999999999</v>
      </c>
      <c r="AO190">
        <f t="shared" si="38"/>
        <v>136.60999999999999</v>
      </c>
    </row>
    <row r="191" spans="1:41" x14ac:dyDescent="0.45">
      <c r="A191" t="s">
        <v>30</v>
      </c>
      <c r="B191">
        <v>2018</v>
      </c>
      <c r="C191" t="s">
        <v>37</v>
      </c>
      <c r="D191" t="s">
        <v>32</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v>143.80000000000001</v>
      </c>
      <c r="W191">
        <v>140.9</v>
      </c>
      <c r="X191">
        <v>137.6</v>
      </c>
      <c r="Y191">
        <v>125.3</v>
      </c>
      <c r="Z191">
        <v>136</v>
      </c>
      <c r="AA191">
        <v>143.69999999999999</v>
      </c>
      <c r="AB191">
        <v>130.4</v>
      </c>
      <c r="AC191">
        <v>134.19999999999999</v>
      </c>
      <c r="AD191">
        <v>139.1</v>
      </c>
      <c r="AE191">
        <f t="shared" si="30"/>
        <v>138.6</v>
      </c>
      <c r="AF191" t="str">
        <f t="shared" si="29"/>
        <v>NA</v>
      </c>
      <c r="AG191">
        <f t="shared" si="31"/>
        <v>143.69999999999999</v>
      </c>
      <c r="AH191">
        <f t="shared" si="32"/>
        <v>143.80000000000001</v>
      </c>
      <c r="AI191">
        <f t="shared" si="33"/>
        <v>137.6</v>
      </c>
      <c r="AJ191">
        <f t="shared" si="33"/>
        <v>125.3</v>
      </c>
      <c r="AK191">
        <f t="shared" si="34"/>
        <v>139.75</v>
      </c>
      <c r="AL191">
        <f t="shared" si="35"/>
        <v>136</v>
      </c>
      <c r="AM191">
        <f t="shared" si="36"/>
        <v>156.1</v>
      </c>
      <c r="AN191">
        <f t="shared" si="37"/>
        <v>137.55000000000001</v>
      </c>
      <c r="AO191">
        <f t="shared" si="38"/>
        <v>139.82222222222219</v>
      </c>
    </row>
    <row r="192" spans="1:41" x14ac:dyDescent="0.45">
      <c r="A192" t="s">
        <v>33</v>
      </c>
      <c r="B192">
        <v>2018</v>
      </c>
      <c r="C192" t="s">
        <v>37</v>
      </c>
      <c r="D192">
        <v>142.9</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124.6</v>
      </c>
      <c r="W192">
        <v>131.80000000000001</v>
      </c>
      <c r="X192">
        <v>131.30000000000001</v>
      </c>
      <c r="Y192">
        <v>118.9</v>
      </c>
      <c r="Z192">
        <v>127.6</v>
      </c>
      <c r="AA192">
        <v>139.69999999999999</v>
      </c>
      <c r="AB192">
        <v>127.6</v>
      </c>
      <c r="AC192">
        <v>128.19999999999999</v>
      </c>
      <c r="AD192">
        <v>134.80000000000001</v>
      </c>
      <c r="AE192">
        <f t="shared" si="30"/>
        <v>135.69999999999999</v>
      </c>
      <c r="AF192">
        <f t="shared" si="29"/>
        <v>142.9</v>
      </c>
      <c r="AG192">
        <f t="shared" si="31"/>
        <v>139.69999999999999</v>
      </c>
      <c r="AH192">
        <f t="shared" si="32"/>
        <v>124.6</v>
      </c>
      <c r="AI192">
        <f t="shared" si="33"/>
        <v>131.30000000000001</v>
      </c>
      <c r="AJ192">
        <f t="shared" si="33"/>
        <v>118.9</v>
      </c>
      <c r="AK192">
        <f t="shared" si="34"/>
        <v>131.89999999999998</v>
      </c>
      <c r="AL192">
        <f t="shared" si="35"/>
        <v>127.6</v>
      </c>
      <c r="AM192">
        <f t="shared" si="36"/>
        <v>159.19999999999999</v>
      </c>
      <c r="AN192">
        <f t="shared" si="37"/>
        <v>130</v>
      </c>
      <c r="AO192">
        <f t="shared" si="38"/>
        <v>134.18</v>
      </c>
    </row>
    <row r="193" spans="1:41" x14ac:dyDescent="0.45">
      <c r="A193" t="s">
        <v>34</v>
      </c>
      <c r="B193">
        <v>2018</v>
      </c>
      <c r="C193" t="s">
        <v>37</v>
      </c>
      <c r="D193">
        <v>142.9</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136.5</v>
      </c>
      <c r="W193">
        <v>136.6</v>
      </c>
      <c r="X193">
        <v>135.19999999999999</v>
      </c>
      <c r="Y193">
        <v>121.9</v>
      </c>
      <c r="Z193">
        <v>131.30000000000001</v>
      </c>
      <c r="AA193">
        <v>141.4</v>
      </c>
      <c r="AB193">
        <v>129.19999999999999</v>
      </c>
      <c r="AC193">
        <v>131.30000000000001</v>
      </c>
      <c r="AD193">
        <v>137.1</v>
      </c>
      <c r="AE193">
        <f t="shared" si="30"/>
        <v>137.5</v>
      </c>
      <c r="AF193">
        <f t="shared" si="29"/>
        <v>142.9</v>
      </c>
      <c r="AG193">
        <f t="shared" si="31"/>
        <v>141.4</v>
      </c>
      <c r="AH193">
        <f t="shared" si="32"/>
        <v>136.5</v>
      </c>
      <c r="AI193">
        <f t="shared" si="33"/>
        <v>135.19999999999999</v>
      </c>
      <c r="AJ193">
        <f t="shared" si="33"/>
        <v>121.9</v>
      </c>
      <c r="AK193">
        <f t="shared" si="34"/>
        <v>136.6</v>
      </c>
      <c r="AL193">
        <f t="shared" si="35"/>
        <v>131.30000000000001</v>
      </c>
      <c r="AM193">
        <f t="shared" si="36"/>
        <v>156.9</v>
      </c>
      <c r="AN193">
        <f t="shared" si="37"/>
        <v>133.94999999999999</v>
      </c>
      <c r="AO193">
        <f t="shared" si="38"/>
        <v>137.41500000000002</v>
      </c>
    </row>
    <row r="194" spans="1:41" x14ac:dyDescent="0.45">
      <c r="A194" t="s">
        <v>30</v>
      </c>
      <c r="B194">
        <v>2018</v>
      </c>
      <c r="C194" t="s">
        <v>38</v>
      </c>
      <c r="D194" t="s">
        <v>32</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v>144.30000000000001</v>
      </c>
      <c r="W194">
        <v>141.80000000000001</v>
      </c>
      <c r="X194">
        <v>138.4</v>
      </c>
      <c r="Y194">
        <v>126.4</v>
      </c>
      <c r="Z194">
        <v>136.80000000000001</v>
      </c>
      <c r="AA194">
        <v>144.4</v>
      </c>
      <c r="AB194">
        <v>131.19999999999999</v>
      </c>
      <c r="AC194">
        <v>135.1</v>
      </c>
      <c r="AD194">
        <v>139.80000000000001</v>
      </c>
      <c r="AE194">
        <f t="shared" si="30"/>
        <v>139.1</v>
      </c>
      <c r="AF194" t="str">
        <f t="shared" ref="AF194:AF257" si="39">D194</f>
        <v>NA</v>
      </c>
      <c r="AG194">
        <f t="shared" si="31"/>
        <v>144.4</v>
      </c>
      <c r="AH194">
        <f t="shared" si="32"/>
        <v>144.30000000000001</v>
      </c>
      <c r="AI194">
        <f t="shared" si="33"/>
        <v>138.4</v>
      </c>
      <c r="AJ194">
        <f t="shared" si="33"/>
        <v>126.4</v>
      </c>
      <c r="AK194">
        <f t="shared" si="34"/>
        <v>140.5</v>
      </c>
      <c r="AL194">
        <f t="shared" si="35"/>
        <v>136.80000000000001</v>
      </c>
      <c r="AM194">
        <f t="shared" si="36"/>
        <v>157</v>
      </c>
      <c r="AN194">
        <f t="shared" si="37"/>
        <v>138.44999999999999</v>
      </c>
      <c r="AO194">
        <f t="shared" si="38"/>
        <v>140.59444444444446</v>
      </c>
    </row>
    <row r="195" spans="1:41" x14ac:dyDescent="0.45">
      <c r="A195" t="s">
        <v>33</v>
      </c>
      <c r="B195">
        <v>2018</v>
      </c>
      <c r="C195" t="s">
        <v>38</v>
      </c>
      <c r="D195">
        <v>143.19999999999999</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124.7</v>
      </c>
      <c r="W195">
        <v>132.5</v>
      </c>
      <c r="X195">
        <v>132</v>
      </c>
      <c r="Y195">
        <v>119.8</v>
      </c>
      <c r="Z195">
        <v>128</v>
      </c>
      <c r="AA195">
        <v>140.4</v>
      </c>
      <c r="AB195">
        <v>128.1</v>
      </c>
      <c r="AC195">
        <v>128.9</v>
      </c>
      <c r="AD195">
        <v>135.4</v>
      </c>
      <c r="AE195">
        <f t="shared" ref="AE195:AE258" si="40">Q195</f>
        <v>136.4</v>
      </c>
      <c r="AF195">
        <f t="shared" si="39"/>
        <v>143.19999999999999</v>
      </c>
      <c r="AG195">
        <f t="shared" ref="AG195:AG258" si="41">AA195</f>
        <v>140.4</v>
      </c>
      <c r="AH195">
        <f t="shared" ref="AH195:AH258" si="42">V195</f>
        <v>124.7</v>
      </c>
      <c r="AI195">
        <f t="shared" ref="AI195:AJ258" si="43">X195</f>
        <v>132</v>
      </c>
      <c r="AJ195">
        <f t="shared" si="43"/>
        <v>119.8</v>
      </c>
      <c r="AK195">
        <f t="shared" ref="AK195:AK258" si="44">AVERAGE(U195,AB195)</f>
        <v>132.55000000000001</v>
      </c>
      <c r="AL195">
        <f t="shared" ref="AL195:AL258" si="45">Z195</f>
        <v>128</v>
      </c>
      <c r="AM195">
        <f t="shared" ref="AM195:AM258" si="46">R195</f>
        <v>160.30000000000001</v>
      </c>
      <c r="AN195">
        <f t="shared" ref="AN195:AN258" si="47">AVERAGE(W195,AC195)</f>
        <v>130.69999999999999</v>
      </c>
      <c r="AO195">
        <f t="shared" ref="AO195:AO258" si="48">AVERAGE(AE195:AN195)</f>
        <v>134.80500000000001</v>
      </c>
    </row>
    <row r="196" spans="1:41" x14ac:dyDescent="0.45">
      <c r="A196" t="s">
        <v>34</v>
      </c>
      <c r="B196">
        <v>2018</v>
      </c>
      <c r="C196" t="s">
        <v>38</v>
      </c>
      <c r="D196">
        <v>143.19999999999999</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136.9</v>
      </c>
      <c r="W196">
        <v>137.4</v>
      </c>
      <c r="X196">
        <v>136</v>
      </c>
      <c r="Y196">
        <v>122.9</v>
      </c>
      <c r="Z196">
        <v>131.80000000000001</v>
      </c>
      <c r="AA196">
        <v>142.1</v>
      </c>
      <c r="AB196">
        <v>129.9</v>
      </c>
      <c r="AC196">
        <v>132.1</v>
      </c>
      <c r="AD196">
        <v>137.80000000000001</v>
      </c>
      <c r="AE196">
        <f t="shared" si="40"/>
        <v>138.1</v>
      </c>
      <c r="AF196">
        <f t="shared" si="39"/>
        <v>143.19999999999999</v>
      </c>
      <c r="AG196">
        <f t="shared" si="41"/>
        <v>142.1</v>
      </c>
      <c r="AH196">
        <f t="shared" si="42"/>
        <v>136.9</v>
      </c>
      <c r="AI196">
        <f t="shared" si="43"/>
        <v>136</v>
      </c>
      <c r="AJ196">
        <f t="shared" si="43"/>
        <v>122.9</v>
      </c>
      <c r="AK196">
        <f t="shared" si="44"/>
        <v>137.30000000000001</v>
      </c>
      <c r="AL196">
        <f t="shared" si="45"/>
        <v>131.80000000000001</v>
      </c>
      <c r="AM196">
        <f t="shared" si="46"/>
        <v>157.9</v>
      </c>
      <c r="AN196">
        <f t="shared" si="47"/>
        <v>134.75</v>
      </c>
      <c r="AO196">
        <f t="shared" si="48"/>
        <v>138.095</v>
      </c>
    </row>
    <row r="197" spans="1:41" x14ac:dyDescent="0.45">
      <c r="A197" t="s">
        <v>30</v>
      </c>
      <c r="B197">
        <v>2018</v>
      </c>
      <c r="C197" t="s">
        <v>39</v>
      </c>
      <c r="D197" t="s">
        <v>32</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v>145.1</v>
      </c>
      <c r="W197">
        <v>142.19999999999999</v>
      </c>
      <c r="X197">
        <v>138.4</v>
      </c>
      <c r="Y197">
        <v>127.4</v>
      </c>
      <c r="Z197">
        <v>137.80000000000001</v>
      </c>
      <c r="AA197">
        <v>145.1</v>
      </c>
      <c r="AB197">
        <v>131.4</v>
      </c>
      <c r="AC197">
        <v>135.6</v>
      </c>
      <c r="AD197">
        <v>140.5</v>
      </c>
      <c r="AE197">
        <f t="shared" si="40"/>
        <v>140</v>
      </c>
      <c r="AF197" t="str">
        <f t="shared" si="39"/>
        <v>NA</v>
      </c>
      <c r="AG197">
        <f t="shared" si="41"/>
        <v>145.1</v>
      </c>
      <c r="AH197">
        <f t="shared" si="42"/>
        <v>145.1</v>
      </c>
      <c r="AI197">
        <f t="shared" si="43"/>
        <v>138.4</v>
      </c>
      <c r="AJ197">
        <f t="shared" si="43"/>
        <v>127.4</v>
      </c>
      <c r="AK197">
        <f t="shared" si="44"/>
        <v>140.85000000000002</v>
      </c>
      <c r="AL197">
        <f t="shared" si="45"/>
        <v>137.80000000000001</v>
      </c>
      <c r="AM197">
        <f t="shared" si="46"/>
        <v>157.30000000000001</v>
      </c>
      <c r="AN197">
        <f t="shared" si="47"/>
        <v>138.89999999999998</v>
      </c>
      <c r="AO197">
        <f t="shared" si="48"/>
        <v>141.20555555555555</v>
      </c>
    </row>
    <row r="198" spans="1:41" x14ac:dyDescent="0.45">
      <c r="A198" t="s">
        <v>33</v>
      </c>
      <c r="B198">
        <v>2018</v>
      </c>
      <c r="C198" t="s">
        <v>39</v>
      </c>
      <c r="D198">
        <v>142.5</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126.5</v>
      </c>
      <c r="W198">
        <v>133.1</v>
      </c>
      <c r="X198">
        <v>132.6</v>
      </c>
      <c r="Y198">
        <v>120.4</v>
      </c>
      <c r="Z198">
        <v>128.5</v>
      </c>
      <c r="AA198">
        <v>141.19999999999999</v>
      </c>
      <c r="AB198">
        <v>128.19999999999999</v>
      </c>
      <c r="AC198">
        <v>129.5</v>
      </c>
      <c r="AD198">
        <v>136.19999999999999</v>
      </c>
      <c r="AE198">
        <f t="shared" si="40"/>
        <v>138.4</v>
      </c>
      <c r="AF198">
        <f t="shared" si="39"/>
        <v>142.5</v>
      </c>
      <c r="AG198">
        <f t="shared" si="41"/>
        <v>141.19999999999999</v>
      </c>
      <c r="AH198">
        <f t="shared" si="42"/>
        <v>126.5</v>
      </c>
      <c r="AI198">
        <f t="shared" si="43"/>
        <v>132.6</v>
      </c>
      <c r="AJ198">
        <f t="shared" si="43"/>
        <v>120.4</v>
      </c>
      <c r="AK198">
        <f t="shared" si="44"/>
        <v>132.80000000000001</v>
      </c>
      <c r="AL198">
        <f t="shared" si="45"/>
        <v>128.5</v>
      </c>
      <c r="AM198">
        <f t="shared" si="46"/>
        <v>161</v>
      </c>
      <c r="AN198">
        <f t="shared" si="47"/>
        <v>131.30000000000001</v>
      </c>
      <c r="AO198">
        <f t="shared" si="48"/>
        <v>135.51999999999998</v>
      </c>
    </row>
    <row r="199" spans="1:41" x14ac:dyDescent="0.45">
      <c r="A199" t="s">
        <v>34</v>
      </c>
      <c r="B199">
        <v>2018</v>
      </c>
      <c r="C199" t="s">
        <v>39</v>
      </c>
      <c r="D199">
        <v>142.5</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138.1</v>
      </c>
      <c r="W199">
        <v>137.9</v>
      </c>
      <c r="X199">
        <v>136.19999999999999</v>
      </c>
      <c r="Y199">
        <v>123.7</v>
      </c>
      <c r="Z199">
        <v>132.6</v>
      </c>
      <c r="AA199">
        <v>142.80000000000001</v>
      </c>
      <c r="AB199">
        <v>130.1</v>
      </c>
      <c r="AC199">
        <v>132.6</v>
      </c>
      <c r="AD199">
        <v>138.5</v>
      </c>
      <c r="AE199">
        <f t="shared" si="40"/>
        <v>139.4</v>
      </c>
      <c r="AF199">
        <f t="shared" si="39"/>
        <v>142.5</v>
      </c>
      <c r="AG199">
        <f t="shared" si="41"/>
        <v>142.80000000000001</v>
      </c>
      <c r="AH199">
        <f t="shared" si="42"/>
        <v>138.1</v>
      </c>
      <c r="AI199">
        <f t="shared" si="43"/>
        <v>136.19999999999999</v>
      </c>
      <c r="AJ199">
        <f t="shared" si="43"/>
        <v>123.7</v>
      </c>
      <c r="AK199">
        <f t="shared" si="44"/>
        <v>137.64999999999998</v>
      </c>
      <c r="AL199">
        <f t="shared" si="45"/>
        <v>132.6</v>
      </c>
      <c r="AM199">
        <f t="shared" si="46"/>
        <v>158.30000000000001</v>
      </c>
      <c r="AN199">
        <f t="shared" si="47"/>
        <v>135.25</v>
      </c>
      <c r="AO199">
        <f t="shared" si="48"/>
        <v>138.65</v>
      </c>
    </row>
    <row r="200" spans="1:41" x14ac:dyDescent="0.45">
      <c r="A200" t="s">
        <v>30</v>
      </c>
      <c r="B200">
        <v>2018</v>
      </c>
      <c r="C200" t="s">
        <v>40</v>
      </c>
      <c r="D200" t="s">
        <v>32</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v>146.80000000000001</v>
      </c>
      <c r="W200">
        <v>143.1</v>
      </c>
      <c r="X200">
        <v>139</v>
      </c>
      <c r="Y200">
        <v>127.5</v>
      </c>
      <c r="Z200">
        <v>138.4</v>
      </c>
      <c r="AA200">
        <v>145.80000000000001</v>
      </c>
      <c r="AB200">
        <v>131.4</v>
      </c>
      <c r="AC200">
        <v>136</v>
      </c>
      <c r="AD200">
        <v>141.80000000000001</v>
      </c>
      <c r="AE200">
        <f t="shared" si="40"/>
        <v>142</v>
      </c>
      <c r="AF200" t="str">
        <f t="shared" si="39"/>
        <v>NA</v>
      </c>
      <c r="AG200">
        <f t="shared" si="41"/>
        <v>145.80000000000001</v>
      </c>
      <c r="AH200">
        <f t="shared" si="42"/>
        <v>146.80000000000001</v>
      </c>
      <c r="AI200">
        <f t="shared" si="43"/>
        <v>139</v>
      </c>
      <c r="AJ200">
        <f t="shared" si="43"/>
        <v>127.5</v>
      </c>
      <c r="AK200">
        <f t="shared" si="44"/>
        <v>141</v>
      </c>
      <c r="AL200">
        <f t="shared" si="45"/>
        <v>138.4</v>
      </c>
      <c r="AM200">
        <f t="shared" si="46"/>
        <v>156.1</v>
      </c>
      <c r="AN200">
        <f t="shared" si="47"/>
        <v>139.55000000000001</v>
      </c>
      <c r="AO200">
        <f t="shared" si="48"/>
        <v>141.79444444444442</v>
      </c>
    </row>
    <row r="201" spans="1:41" x14ac:dyDescent="0.45">
      <c r="A201" t="s">
        <v>33</v>
      </c>
      <c r="B201">
        <v>2018</v>
      </c>
      <c r="C201" t="s">
        <v>40</v>
      </c>
      <c r="D201">
        <v>143.6</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128.1</v>
      </c>
      <c r="W201">
        <v>133.6</v>
      </c>
      <c r="X201">
        <v>133.6</v>
      </c>
      <c r="Y201">
        <v>120.1</v>
      </c>
      <c r="Z201">
        <v>129</v>
      </c>
      <c r="AA201">
        <v>144</v>
      </c>
      <c r="AB201">
        <v>128.19999999999999</v>
      </c>
      <c r="AC201">
        <v>130.19999999999999</v>
      </c>
      <c r="AD201">
        <v>137.5</v>
      </c>
      <c r="AE201">
        <f t="shared" si="40"/>
        <v>140.30000000000001</v>
      </c>
      <c r="AF201">
        <f t="shared" si="39"/>
        <v>143.6</v>
      </c>
      <c r="AG201">
        <f t="shared" si="41"/>
        <v>144</v>
      </c>
      <c r="AH201">
        <f t="shared" si="42"/>
        <v>128.1</v>
      </c>
      <c r="AI201">
        <f t="shared" si="43"/>
        <v>133.6</v>
      </c>
      <c r="AJ201">
        <f t="shared" si="43"/>
        <v>120.1</v>
      </c>
      <c r="AK201">
        <f t="shared" si="44"/>
        <v>133.05000000000001</v>
      </c>
      <c r="AL201">
        <f t="shared" si="45"/>
        <v>129</v>
      </c>
      <c r="AM201">
        <f t="shared" si="46"/>
        <v>161.4</v>
      </c>
      <c r="AN201">
        <f t="shared" si="47"/>
        <v>131.89999999999998</v>
      </c>
      <c r="AO201">
        <f t="shared" si="48"/>
        <v>136.50500000000002</v>
      </c>
    </row>
    <row r="202" spans="1:41" x14ac:dyDescent="0.45">
      <c r="A202" t="s">
        <v>34</v>
      </c>
      <c r="B202">
        <v>2018</v>
      </c>
      <c r="C202" t="s">
        <v>40</v>
      </c>
      <c r="D202">
        <v>143.6</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139.69999999999999</v>
      </c>
      <c r="W202">
        <v>138.6</v>
      </c>
      <c r="X202">
        <v>137</v>
      </c>
      <c r="Y202">
        <v>123.6</v>
      </c>
      <c r="Z202">
        <v>133.1</v>
      </c>
      <c r="AA202">
        <v>144.69999999999999</v>
      </c>
      <c r="AB202">
        <v>130.1</v>
      </c>
      <c r="AC202">
        <v>133.19999999999999</v>
      </c>
      <c r="AD202">
        <v>139.80000000000001</v>
      </c>
      <c r="AE202">
        <f t="shared" si="40"/>
        <v>141.4</v>
      </c>
      <c r="AF202">
        <f t="shared" si="39"/>
        <v>143.6</v>
      </c>
      <c r="AG202">
        <f t="shared" si="41"/>
        <v>144.69999999999999</v>
      </c>
      <c r="AH202">
        <f t="shared" si="42"/>
        <v>139.69999999999999</v>
      </c>
      <c r="AI202">
        <f t="shared" si="43"/>
        <v>137</v>
      </c>
      <c r="AJ202">
        <f t="shared" si="43"/>
        <v>123.6</v>
      </c>
      <c r="AK202">
        <f t="shared" si="44"/>
        <v>137.85</v>
      </c>
      <c r="AL202">
        <f t="shared" si="45"/>
        <v>133.1</v>
      </c>
      <c r="AM202">
        <f t="shared" si="46"/>
        <v>157.5</v>
      </c>
      <c r="AN202">
        <f t="shared" si="47"/>
        <v>135.89999999999998</v>
      </c>
      <c r="AO202">
        <f t="shared" si="48"/>
        <v>139.435</v>
      </c>
    </row>
    <row r="203" spans="1:41" x14ac:dyDescent="0.45">
      <c r="A203" t="s">
        <v>30</v>
      </c>
      <c r="B203">
        <v>2018</v>
      </c>
      <c r="C203" t="s">
        <v>41</v>
      </c>
      <c r="D203" t="s">
        <v>32</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v>147.69999999999999</v>
      </c>
      <c r="W203">
        <v>143.80000000000001</v>
      </c>
      <c r="X203">
        <v>139.4</v>
      </c>
      <c r="Y203">
        <v>128.30000000000001</v>
      </c>
      <c r="Z203">
        <v>138.6</v>
      </c>
      <c r="AA203">
        <v>146.9</v>
      </c>
      <c r="AB203">
        <v>131.30000000000001</v>
      </c>
      <c r="AC203">
        <v>136.6</v>
      </c>
      <c r="AD203">
        <v>142.5</v>
      </c>
      <c r="AE203">
        <f t="shared" si="40"/>
        <v>142.69999999999999</v>
      </c>
      <c r="AF203" t="str">
        <f t="shared" si="39"/>
        <v>NA</v>
      </c>
      <c r="AG203">
        <f t="shared" si="41"/>
        <v>146.9</v>
      </c>
      <c r="AH203">
        <f t="shared" si="42"/>
        <v>147.69999999999999</v>
      </c>
      <c r="AI203">
        <f t="shared" si="43"/>
        <v>139.4</v>
      </c>
      <c r="AJ203">
        <f t="shared" si="43"/>
        <v>128.30000000000001</v>
      </c>
      <c r="AK203">
        <f t="shared" si="44"/>
        <v>141.30000000000001</v>
      </c>
      <c r="AL203">
        <f t="shared" si="45"/>
        <v>138.6</v>
      </c>
      <c r="AM203">
        <f t="shared" si="46"/>
        <v>156.4</v>
      </c>
      <c r="AN203">
        <f t="shared" si="47"/>
        <v>140.19999999999999</v>
      </c>
      <c r="AO203">
        <f t="shared" si="48"/>
        <v>142.38888888888889</v>
      </c>
    </row>
    <row r="204" spans="1:41" x14ac:dyDescent="0.45">
      <c r="A204" t="s">
        <v>33</v>
      </c>
      <c r="B204">
        <v>2018</v>
      </c>
      <c r="C204" t="s">
        <v>41</v>
      </c>
      <c r="D204">
        <v>144.6</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129.80000000000001</v>
      </c>
      <c r="W204">
        <v>134.4</v>
      </c>
      <c r="X204">
        <v>134.9</v>
      </c>
      <c r="Y204">
        <v>120.7</v>
      </c>
      <c r="Z204">
        <v>129.80000000000001</v>
      </c>
      <c r="AA204">
        <v>145.30000000000001</v>
      </c>
      <c r="AB204">
        <v>128.30000000000001</v>
      </c>
      <c r="AC204">
        <v>131</v>
      </c>
      <c r="AD204">
        <v>138</v>
      </c>
      <c r="AE204">
        <f t="shared" si="40"/>
        <v>140.1</v>
      </c>
      <c r="AF204">
        <f t="shared" si="39"/>
        <v>144.6</v>
      </c>
      <c r="AG204">
        <f t="shared" si="41"/>
        <v>145.30000000000001</v>
      </c>
      <c r="AH204">
        <f t="shared" si="42"/>
        <v>129.80000000000001</v>
      </c>
      <c r="AI204">
        <f t="shared" si="43"/>
        <v>134.9</v>
      </c>
      <c r="AJ204">
        <f t="shared" si="43"/>
        <v>120.7</v>
      </c>
      <c r="AK204">
        <f t="shared" si="44"/>
        <v>133.30000000000001</v>
      </c>
      <c r="AL204">
        <f t="shared" si="45"/>
        <v>129.80000000000001</v>
      </c>
      <c r="AM204">
        <f t="shared" si="46"/>
        <v>162.1</v>
      </c>
      <c r="AN204">
        <f t="shared" si="47"/>
        <v>132.69999999999999</v>
      </c>
      <c r="AO204">
        <f t="shared" si="48"/>
        <v>137.32999999999998</v>
      </c>
    </row>
    <row r="205" spans="1:41" x14ac:dyDescent="0.45">
      <c r="A205" t="s">
        <v>34</v>
      </c>
      <c r="B205">
        <v>2018</v>
      </c>
      <c r="C205" t="s">
        <v>41</v>
      </c>
      <c r="D205">
        <v>144.6</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140.9</v>
      </c>
      <c r="W205">
        <v>139.4</v>
      </c>
      <c r="X205">
        <v>137.69999999999999</v>
      </c>
      <c r="Y205">
        <v>124.3</v>
      </c>
      <c r="Z205">
        <v>133.6</v>
      </c>
      <c r="AA205">
        <v>146</v>
      </c>
      <c r="AB205">
        <v>130.1</v>
      </c>
      <c r="AC205">
        <v>133.9</v>
      </c>
      <c r="AD205">
        <v>140.4</v>
      </c>
      <c r="AE205">
        <f t="shared" si="40"/>
        <v>141.69999999999999</v>
      </c>
      <c r="AF205">
        <f t="shared" si="39"/>
        <v>144.6</v>
      </c>
      <c r="AG205">
        <f t="shared" si="41"/>
        <v>146</v>
      </c>
      <c r="AH205">
        <f t="shared" si="42"/>
        <v>140.9</v>
      </c>
      <c r="AI205">
        <f t="shared" si="43"/>
        <v>137.69999999999999</v>
      </c>
      <c r="AJ205">
        <f t="shared" si="43"/>
        <v>124.3</v>
      </c>
      <c r="AK205">
        <f t="shared" si="44"/>
        <v>138.1</v>
      </c>
      <c r="AL205">
        <f t="shared" si="45"/>
        <v>133.6</v>
      </c>
      <c r="AM205">
        <f t="shared" si="46"/>
        <v>157.9</v>
      </c>
      <c r="AN205">
        <f t="shared" si="47"/>
        <v>136.65</v>
      </c>
      <c r="AO205">
        <f t="shared" si="48"/>
        <v>140.14500000000001</v>
      </c>
    </row>
    <row r="206" spans="1:41" x14ac:dyDescent="0.45">
      <c r="A206" t="s">
        <v>30</v>
      </c>
      <c r="B206">
        <v>2018</v>
      </c>
      <c r="C206" t="s">
        <v>42</v>
      </c>
      <c r="D206" t="s">
        <v>32</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v>149</v>
      </c>
      <c r="W206">
        <v>144</v>
      </c>
      <c r="X206">
        <v>140</v>
      </c>
      <c r="Y206">
        <v>129.9</v>
      </c>
      <c r="Z206">
        <v>140</v>
      </c>
      <c r="AA206">
        <v>147.6</v>
      </c>
      <c r="AB206">
        <v>132</v>
      </c>
      <c r="AC206">
        <v>137.4</v>
      </c>
      <c r="AD206">
        <v>142.1</v>
      </c>
      <c r="AE206">
        <f t="shared" si="40"/>
        <v>141.30000000000001</v>
      </c>
      <c r="AF206" t="str">
        <f t="shared" si="39"/>
        <v>NA</v>
      </c>
      <c r="AG206">
        <f t="shared" si="41"/>
        <v>147.6</v>
      </c>
      <c r="AH206">
        <f t="shared" si="42"/>
        <v>149</v>
      </c>
      <c r="AI206">
        <f t="shared" si="43"/>
        <v>140</v>
      </c>
      <c r="AJ206">
        <f t="shared" si="43"/>
        <v>129.9</v>
      </c>
      <c r="AK206">
        <f t="shared" si="44"/>
        <v>141.65</v>
      </c>
      <c r="AL206">
        <f t="shared" si="45"/>
        <v>140</v>
      </c>
      <c r="AM206">
        <f t="shared" si="46"/>
        <v>157.69999999999999</v>
      </c>
      <c r="AN206">
        <f t="shared" si="47"/>
        <v>140.69999999999999</v>
      </c>
      <c r="AO206">
        <f t="shared" si="48"/>
        <v>143.09444444444443</v>
      </c>
    </row>
    <row r="207" spans="1:41" x14ac:dyDescent="0.45">
      <c r="A207" t="s">
        <v>33</v>
      </c>
      <c r="B207">
        <v>2018</v>
      </c>
      <c r="C207" t="s">
        <v>42</v>
      </c>
      <c r="D207">
        <v>145.30000000000001</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131.19999999999999</v>
      </c>
      <c r="W207">
        <v>134.9</v>
      </c>
      <c r="X207">
        <v>135.69999999999999</v>
      </c>
      <c r="Y207">
        <v>122.5</v>
      </c>
      <c r="Z207">
        <v>130.19999999999999</v>
      </c>
      <c r="AA207">
        <v>145.19999999999999</v>
      </c>
      <c r="AB207">
        <v>129.30000000000001</v>
      </c>
      <c r="AC207">
        <v>131.9</v>
      </c>
      <c r="AD207">
        <v>138.1</v>
      </c>
      <c r="AE207">
        <f t="shared" si="40"/>
        <v>138.9</v>
      </c>
      <c r="AF207">
        <f t="shared" si="39"/>
        <v>145.30000000000001</v>
      </c>
      <c r="AG207">
        <f t="shared" si="41"/>
        <v>145.19999999999999</v>
      </c>
      <c r="AH207">
        <f t="shared" si="42"/>
        <v>131.19999999999999</v>
      </c>
      <c r="AI207">
        <f t="shared" si="43"/>
        <v>135.69999999999999</v>
      </c>
      <c r="AJ207">
        <f t="shared" si="43"/>
        <v>122.5</v>
      </c>
      <c r="AK207">
        <f t="shared" si="44"/>
        <v>134.19999999999999</v>
      </c>
      <c r="AL207">
        <f t="shared" si="45"/>
        <v>130.19999999999999</v>
      </c>
      <c r="AM207">
        <f t="shared" si="46"/>
        <v>163.30000000000001</v>
      </c>
      <c r="AN207">
        <f t="shared" si="47"/>
        <v>133.4</v>
      </c>
      <c r="AO207">
        <f t="shared" si="48"/>
        <v>137.99</v>
      </c>
    </row>
    <row r="208" spans="1:41" x14ac:dyDescent="0.45">
      <c r="A208" t="s">
        <v>34</v>
      </c>
      <c r="B208">
        <v>2018</v>
      </c>
      <c r="C208" t="s">
        <v>42</v>
      </c>
      <c r="D208">
        <v>145.30000000000001</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142.30000000000001</v>
      </c>
      <c r="W208">
        <v>139.69999999999999</v>
      </c>
      <c r="X208">
        <v>138.4</v>
      </c>
      <c r="Y208">
        <v>126</v>
      </c>
      <c r="Z208">
        <v>134.5</v>
      </c>
      <c r="AA208">
        <v>146.19999999999999</v>
      </c>
      <c r="AB208">
        <v>130.9</v>
      </c>
      <c r="AC208">
        <v>134.69999999999999</v>
      </c>
      <c r="AD208">
        <v>140.19999999999999</v>
      </c>
      <c r="AE208">
        <f t="shared" si="40"/>
        <v>140.4</v>
      </c>
      <c r="AF208">
        <f t="shared" si="39"/>
        <v>145.30000000000001</v>
      </c>
      <c r="AG208">
        <f t="shared" si="41"/>
        <v>146.19999999999999</v>
      </c>
      <c r="AH208">
        <f t="shared" si="42"/>
        <v>142.30000000000001</v>
      </c>
      <c r="AI208">
        <f t="shared" si="43"/>
        <v>138.4</v>
      </c>
      <c r="AJ208">
        <f t="shared" si="43"/>
        <v>126</v>
      </c>
      <c r="AK208">
        <f t="shared" si="44"/>
        <v>138.69999999999999</v>
      </c>
      <c r="AL208">
        <f t="shared" si="45"/>
        <v>134.5</v>
      </c>
      <c r="AM208">
        <f t="shared" si="46"/>
        <v>159.19999999999999</v>
      </c>
      <c r="AN208">
        <f t="shared" si="47"/>
        <v>137.19999999999999</v>
      </c>
      <c r="AO208">
        <f t="shared" si="48"/>
        <v>140.82</v>
      </c>
    </row>
    <row r="209" spans="1:41" x14ac:dyDescent="0.45">
      <c r="A209" t="s">
        <v>30</v>
      </c>
      <c r="B209">
        <v>2018</v>
      </c>
      <c r="C209" t="s">
        <v>43</v>
      </c>
      <c r="D209" t="s">
        <v>32</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v>149.69999999999999</v>
      </c>
      <c r="W209">
        <v>147.5</v>
      </c>
      <c r="X209">
        <v>144.80000000000001</v>
      </c>
      <c r="Y209">
        <v>130.80000000000001</v>
      </c>
      <c r="Z209">
        <v>140.1</v>
      </c>
      <c r="AA209">
        <v>148</v>
      </c>
      <c r="AB209">
        <v>134.4</v>
      </c>
      <c r="AC209">
        <v>139.80000000000001</v>
      </c>
      <c r="AD209">
        <v>142.19999999999999</v>
      </c>
      <c r="AE209">
        <f t="shared" si="40"/>
        <v>140.19999999999999</v>
      </c>
      <c r="AF209" t="str">
        <f t="shared" si="39"/>
        <v>NA</v>
      </c>
      <c r="AG209">
        <f t="shared" si="41"/>
        <v>148</v>
      </c>
      <c r="AH209">
        <f t="shared" si="42"/>
        <v>149.69999999999999</v>
      </c>
      <c r="AI209">
        <f t="shared" si="43"/>
        <v>144.80000000000001</v>
      </c>
      <c r="AJ209">
        <f t="shared" si="43"/>
        <v>130.80000000000001</v>
      </c>
      <c r="AK209">
        <f t="shared" si="44"/>
        <v>142.10000000000002</v>
      </c>
      <c r="AL209">
        <f t="shared" si="45"/>
        <v>140.1</v>
      </c>
      <c r="AM209">
        <f t="shared" si="46"/>
        <v>159.6</v>
      </c>
      <c r="AN209">
        <f t="shared" si="47"/>
        <v>143.65</v>
      </c>
      <c r="AO209">
        <f t="shared" si="48"/>
        <v>144.32777777777778</v>
      </c>
    </row>
    <row r="210" spans="1:41" x14ac:dyDescent="0.45">
      <c r="A210" t="s">
        <v>33</v>
      </c>
      <c r="B210">
        <v>2018</v>
      </c>
      <c r="C210" t="s">
        <v>43</v>
      </c>
      <c r="D210">
        <v>146.30000000000001</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133.4</v>
      </c>
      <c r="W210">
        <v>135.1</v>
      </c>
      <c r="X210">
        <v>136.19999999999999</v>
      </c>
      <c r="Y210">
        <v>123.3</v>
      </c>
      <c r="Z210">
        <v>130.69999999999999</v>
      </c>
      <c r="AA210">
        <v>145.5</v>
      </c>
      <c r="AB210">
        <v>130.4</v>
      </c>
      <c r="AC210">
        <v>132.5</v>
      </c>
      <c r="AD210">
        <v>138.9</v>
      </c>
      <c r="AE210">
        <f t="shared" si="40"/>
        <v>139.4</v>
      </c>
      <c r="AF210">
        <f t="shared" si="39"/>
        <v>146.30000000000001</v>
      </c>
      <c r="AG210">
        <f t="shared" si="41"/>
        <v>145.5</v>
      </c>
      <c r="AH210">
        <f t="shared" si="42"/>
        <v>133.4</v>
      </c>
      <c r="AI210">
        <f t="shared" si="43"/>
        <v>136.19999999999999</v>
      </c>
      <c r="AJ210">
        <f t="shared" si="43"/>
        <v>123.3</v>
      </c>
      <c r="AK210">
        <f t="shared" si="44"/>
        <v>135.05000000000001</v>
      </c>
      <c r="AL210">
        <f t="shared" si="45"/>
        <v>130.69999999999999</v>
      </c>
      <c r="AM210">
        <f t="shared" si="46"/>
        <v>164</v>
      </c>
      <c r="AN210">
        <f t="shared" si="47"/>
        <v>133.80000000000001</v>
      </c>
      <c r="AO210">
        <f t="shared" si="48"/>
        <v>138.76499999999999</v>
      </c>
    </row>
    <row r="211" spans="1:41" x14ac:dyDescent="0.45">
      <c r="A211" t="s">
        <v>34</v>
      </c>
      <c r="B211">
        <v>2018</v>
      </c>
      <c r="C211" t="s">
        <v>43</v>
      </c>
      <c r="D211">
        <v>146.9</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145.30000000000001</v>
      </c>
      <c r="W211">
        <v>142.19999999999999</v>
      </c>
      <c r="X211">
        <v>142.1</v>
      </c>
      <c r="Y211">
        <v>125.5</v>
      </c>
      <c r="Z211">
        <v>136.5</v>
      </c>
      <c r="AA211">
        <v>147.80000000000001</v>
      </c>
      <c r="AB211">
        <v>132</v>
      </c>
      <c r="AC211">
        <v>136.30000000000001</v>
      </c>
      <c r="AD211">
        <v>140.80000000000001</v>
      </c>
      <c r="AE211">
        <f t="shared" si="40"/>
        <v>139.69999999999999</v>
      </c>
      <c r="AF211">
        <f t="shared" si="39"/>
        <v>146.9</v>
      </c>
      <c r="AG211">
        <f t="shared" si="41"/>
        <v>147.80000000000001</v>
      </c>
      <c r="AH211">
        <f t="shared" si="42"/>
        <v>145.30000000000001</v>
      </c>
      <c r="AI211">
        <f t="shared" si="43"/>
        <v>142.1</v>
      </c>
      <c r="AJ211">
        <f t="shared" si="43"/>
        <v>125.5</v>
      </c>
      <c r="AK211">
        <f t="shared" si="44"/>
        <v>139.4</v>
      </c>
      <c r="AL211">
        <f t="shared" si="45"/>
        <v>136.5</v>
      </c>
      <c r="AM211">
        <f t="shared" si="46"/>
        <v>162.6</v>
      </c>
      <c r="AN211">
        <f t="shared" si="47"/>
        <v>139.25</v>
      </c>
      <c r="AO211">
        <f t="shared" si="48"/>
        <v>142.505</v>
      </c>
    </row>
    <row r="212" spans="1:41" x14ac:dyDescent="0.45">
      <c r="A212" t="s">
        <v>30</v>
      </c>
      <c r="B212">
        <v>2018</v>
      </c>
      <c r="C212" t="s">
        <v>45</v>
      </c>
      <c r="D212" t="s">
        <v>32</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v>150.30000000000001</v>
      </c>
      <c r="W212">
        <v>148</v>
      </c>
      <c r="X212">
        <v>145.4</v>
      </c>
      <c r="Y212">
        <v>130.30000000000001</v>
      </c>
      <c r="Z212">
        <v>143.1</v>
      </c>
      <c r="AA212">
        <v>150.19999999999999</v>
      </c>
      <c r="AB212">
        <v>133.1</v>
      </c>
      <c r="AC212">
        <v>140.1</v>
      </c>
      <c r="AD212">
        <v>142.4</v>
      </c>
      <c r="AE212">
        <f t="shared" si="40"/>
        <v>140</v>
      </c>
      <c r="AF212" t="str">
        <f t="shared" si="39"/>
        <v>NA</v>
      </c>
      <c r="AG212">
        <f t="shared" si="41"/>
        <v>150.19999999999999</v>
      </c>
      <c r="AH212">
        <f t="shared" si="42"/>
        <v>150.30000000000001</v>
      </c>
      <c r="AI212">
        <f t="shared" si="43"/>
        <v>145.4</v>
      </c>
      <c r="AJ212">
        <f t="shared" si="43"/>
        <v>130.30000000000001</v>
      </c>
      <c r="AK212">
        <f t="shared" si="44"/>
        <v>141.94999999999999</v>
      </c>
      <c r="AL212">
        <f t="shared" si="45"/>
        <v>143.1</v>
      </c>
      <c r="AM212">
        <f t="shared" si="46"/>
        <v>161.9</v>
      </c>
      <c r="AN212">
        <f t="shared" si="47"/>
        <v>144.05000000000001</v>
      </c>
      <c r="AO212">
        <f t="shared" si="48"/>
        <v>145.24444444444444</v>
      </c>
    </row>
    <row r="213" spans="1:41" x14ac:dyDescent="0.45">
      <c r="A213" t="s">
        <v>33</v>
      </c>
      <c r="B213">
        <v>2018</v>
      </c>
      <c r="C213" t="s">
        <v>45</v>
      </c>
      <c r="D213">
        <v>146.9</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136.69999999999999</v>
      </c>
      <c r="W213">
        <v>135.80000000000001</v>
      </c>
      <c r="X213">
        <v>136.80000000000001</v>
      </c>
      <c r="Y213">
        <v>121.2</v>
      </c>
      <c r="Z213">
        <v>131.30000000000001</v>
      </c>
      <c r="AA213">
        <v>146.1</v>
      </c>
      <c r="AB213">
        <v>130.5</v>
      </c>
      <c r="AC213">
        <v>132.19999999999999</v>
      </c>
      <c r="AD213">
        <v>139</v>
      </c>
      <c r="AE213">
        <f t="shared" si="40"/>
        <v>139.1</v>
      </c>
      <c r="AF213">
        <f t="shared" si="39"/>
        <v>146.9</v>
      </c>
      <c r="AG213">
        <f t="shared" si="41"/>
        <v>146.1</v>
      </c>
      <c r="AH213">
        <f t="shared" si="42"/>
        <v>136.69999999999999</v>
      </c>
      <c r="AI213">
        <f t="shared" si="43"/>
        <v>136.80000000000001</v>
      </c>
      <c r="AJ213">
        <f t="shared" si="43"/>
        <v>121.2</v>
      </c>
      <c r="AK213">
        <f t="shared" si="44"/>
        <v>135.5</v>
      </c>
      <c r="AL213">
        <f t="shared" si="45"/>
        <v>131.30000000000001</v>
      </c>
      <c r="AM213">
        <f t="shared" si="46"/>
        <v>164.4</v>
      </c>
      <c r="AN213">
        <f t="shared" si="47"/>
        <v>134</v>
      </c>
      <c r="AO213">
        <f t="shared" si="48"/>
        <v>139.19999999999999</v>
      </c>
    </row>
    <row r="214" spans="1:41" x14ac:dyDescent="0.45">
      <c r="A214" t="s">
        <v>34</v>
      </c>
      <c r="B214">
        <v>2018</v>
      </c>
      <c r="C214" t="s">
        <v>45</v>
      </c>
      <c r="D214">
        <v>146.9</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145.1</v>
      </c>
      <c r="W214">
        <v>142.19999999999999</v>
      </c>
      <c r="X214">
        <v>142.1</v>
      </c>
      <c r="Y214">
        <v>125.5</v>
      </c>
      <c r="Z214">
        <v>136.5</v>
      </c>
      <c r="AA214">
        <v>147.80000000000001</v>
      </c>
      <c r="AB214">
        <v>132</v>
      </c>
      <c r="AC214">
        <v>136.30000000000001</v>
      </c>
      <c r="AD214">
        <v>140.80000000000001</v>
      </c>
      <c r="AE214">
        <f t="shared" si="40"/>
        <v>139.69999999999999</v>
      </c>
      <c r="AF214">
        <f t="shared" si="39"/>
        <v>146.9</v>
      </c>
      <c r="AG214">
        <f t="shared" si="41"/>
        <v>147.80000000000001</v>
      </c>
      <c r="AH214">
        <f t="shared" si="42"/>
        <v>145.1</v>
      </c>
      <c r="AI214">
        <f t="shared" si="43"/>
        <v>142.1</v>
      </c>
      <c r="AJ214">
        <f t="shared" si="43"/>
        <v>125.5</v>
      </c>
      <c r="AK214">
        <f t="shared" si="44"/>
        <v>139.35</v>
      </c>
      <c r="AL214">
        <f t="shared" si="45"/>
        <v>136.5</v>
      </c>
      <c r="AM214">
        <f t="shared" si="46"/>
        <v>162.6</v>
      </c>
      <c r="AN214">
        <f t="shared" si="47"/>
        <v>139.25</v>
      </c>
      <c r="AO214">
        <f t="shared" si="48"/>
        <v>142.47999999999999</v>
      </c>
    </row>
    <row r="215" spans="1:41" x14ac:dyDescent="0.45">
      <c r="A215" t="s">
        <v>30</v>
      </c>
      <c r="B215">
        <v>2018</v>
      </c>
      <c r="C215" t="s">
        <v>46</v>
      </c>
      <c r="D215" t="s">
        <v>32</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v>149</v>
      </c>
      <c r="W215">
        <v>149.5</v>
      </c>
      <c r="X215">
        <v>149.6</v>
      </c>
      <c r="Y215">
        <v>128.9</v>
      </c>
      <c r="Z215">
        <v>143.30000000000001</v>
      </c>
      <c r="AA215">
        <v>155.1</v>
      </c>
      <c r="AB215">
        <v>133.19999999999999</v>
      </c>
      <c r="AC215">
        <v>141.6</v>
      </c>
      <c r="AD215">
        <v>141.9</v>
      </c>
      <c r="AE215">
        <f t="shared" si="40"/>
        <v>138.5</v>
      </c>
      <c r="AF215" t="str">
        <f t="shared" si="39"/>
        <v>NA</v>
      </c>
      <c r="AG215">
        <f t="shared" si="41"/>
        <v>155.1</v>
      </c>
      <c r="AH215">
        <f t="shared" si="42"/>
        <v>149</v>
      </c>
      <c r="AI215">
        <f t="shared" si="43"/>
        <v>149.6</v>
      </c>
      <c r="AJ215">
        <f t="shared" si="43"/>
        <v>128.9</v>
      </c>
      <c r="AK215">
        <f t="shared" si="44"/>
        <v>142</v>
      </c>
      <c r="AL215">
        <f t="shared" si="45"/>
        <v>143.30000000000001</v>
      </c>
      <c r="AM215">
        <f t="shared" si="46"/>
        <v>162.4</v>
      </c>
      <c r="AN215">
        <f t="shared" si="47"/>
        <v>145.55000000000001</v>
      </c>
      <c r="AO215">
        <f t="shared" si="48"/>
        <v>146.03888888888889</v>
      </c>
    </row>
    <row r="216" spans="1:41" x14ac:dyDescent="0.45">
      <c r="A216" t="s">
        <v>33</v>
      </c>
      <c r="B216">
        <v>2018</v>
      </c>
      <c r="C216" t="s">
        <v>46</v>
      </c>
      <c r="D216">
        <v>146.5</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132.4</v>
      </c>
      <c r="W216">
        <v>136.19999999999999</v>
      </c>
      <c r="X216">
        <v>137.30000000000001</v>
      </c>
      <c r="Y216">
        <v>118.8</v>
      </c>
      <c r="Z216">
        <v>131.69999999999999</v>
      </c>
      <c r="AA216">
        <v>146.5</v>
      </c>
      <c r="AB216">
        <v>130.80000000000001</v>
      </c>
      <c r="AC216">
        <v>131.69999999999999</v>
      </c>
      <c r="AD216">
        <v>138</v>
      </c>
      <c r="AE216">
        <f t="shared" si="40"/>
        <v>137.6</v>
      </c>
      <c r="AF216">
        <f t="shared" si="39"/>
        <v>146.5</v>
      </c>
      <c r="AG216">
        <f t="shared" si="41"/>
        <v>146.5</v>
      </c>
      <c r="AH216">
        <f t="shared" si="42"/>
        <v>132.4</v>
      </c>
      <c r="AI216">
        <f t="shared" si="43"/>
        <v>137.30000000000001</v>
      </c>
      <c r="AJ216">
        <f t="shared" si="43"/>
        <v>118.8</v>
      </c>
      <c r="AK216">
        <f t="shared" si="44"/>
        <v>135.80000000000001</v>
      </c>
      <c r="AL216">
        <f t="shared" si="45"/>
        <v>131.69999999999999</v>
      </c>
      <c r="AM216">
        <f t="shared" si="46"/>
        <v>164.6</v>
      </c>
      <c r="AN216">
        <f t="shared" si="47"/>
        <v>133.94999999999999</v>
      </c>
      <c r="AO216">
        <f t="shared" si="48"/>
        <v>138.51499999999999</v>
      </c>
    </row>
    <row r="217" spans="1:41" x14ac:dyDescent="0.45">
      <c r="A217" t="s">
        <v>34</v>
      </c>
      <c r="B217">
        <v>2018</v>
      </c>
      <c r="C217" t="s">
        <v>46</v>
      </c>
      <c r="D217">
        <v>146.5</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142.69999999999999</v>
      </c>
      <c r="W217">
        <v>143.19999999999999</v>
      </c>
      <c r="X217">
        <v>144.9</v>
      </c>
      <c r="Y217">
        <v>123.6</v>
      </c>
      <c r="Z217">
        <v>136.80000000000001</v>
      </c>
      <c r="AA217">
        <v>150.1</v>
      </c>
      <c r="AB217">
        <v>132.19999999999999</v>
      </c>
      <c r="AC217">
        <v>136.80000000000001</v>
      </c>
      <c r="AD217">
        <v>140.1</v>
      </c>
      <c r="AE217">
        <f t="shared" si="40"/>
        <v>138.19999999999999</v>
      </c>
      <c r="AF217">
        <f t="shared" si="39"/>
        <v>146.5</v>
      </c>
      <c r="AG217">
        <f t="shared" si="41"/>
        <v>150.1</v>
      </c>
      <c r="AH217">
        <f t="shared" si="42"/>
        <v>142.69999999999999</v>
      </c>
      <c r="AI217">
        <f t="shared" si="43"/>
        <v>144.9</v>
      </c>
      <c r="AJ217">
        <f t="shared" si="43"/>
        <v>123.6</v>
      </c>
      <c r="AK217">
        <f t="shared" si="44"/>
        <v>139.5</v>
      </c>
      <c r="AL217">
        <f t="shared" si="45"/>
        <v>136.80000000000001</v>
      </c>
      <c r="AM217">
        <f t="shared" si="46"/>
        <v>163</v>
      </c>
      <c r="AN217">
        <f t="shared" si="47"/>
        <v>140</v>
      </c>
      <c r="AO217">
        <f t="shared" si="48"/>
        <v>142.53</v>
      </c>
    </row>
    <row r="218" spans="1:41" x14ac:dyDescent="0.45">
      <c r="A218" t="s">
        <v>30</v>
      </c>
      <c r="B218">
        <v>2019</v>
      </c>
      <c r="C218" t="s">
        <v>31</v>
      </c>
      <c r="D218" t="s">
        <v>32</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v>146.19999999999999</v>
      </c>
      <c r="W218">
        <v>150.1</v>
      </c>
      <c r="X218">
        <v>149.6</v>
      </c>
      <c r="Y218">
        <v>128.6</v>
      </c>
      <c r="Z218">
        <v>142.9</v>
      </c>
      <c r="AA218">
        <v>155.19999999999999</v>
      </c>
      <c r="AB218">
        <v>133.5</v>
      </c>
      <c r="AC218">
        <v>141.69999999999999</v>
      </c>
      <c r="AD218">
        <v>141</v>
      </c>
      <c r="AE218">
        <f t="shared" si="40"/>
        <v>137.4</v>
      </c>
      <c r="AF218" t="str">
        <f t="shared" si="39"/>
        <v>NA</v>
      </c>
      <c r="AG218">
        <f t="shared" si="41"/>
        <v>155.19999999999999</v>
      </c>
      <c r="AH218">
        <f t="shared" si="42"/>
        <v>146.19999999999999</v>
      </c>
      <c r="AI218">
        <f t="shared" si="43"/>
        <v>149.6</v>
      </c>
      <c r="AJ218">
        <f t="shared" si="43"/>
        <v>128.6</v>
      </c>
      <c r="AK218">
        <f t="shared" si="44"/>
        <v>141.69999999999999</v>
      </c>
      <c r="AL218">
        <f t="shared" si="45"/>
        <v>142.9</v>
      </c>
      <c r="AM218">
        <f t="shared" si="46"/>
        <v>162.69999999999999</v>
      </c>
      <c r="AN218">
        <f t="shared" si="47"/>
        <v>145.89999999999998</v>
      </c>
      <c r="AO218">
        <f t="shared" si="48"/>
        <v>145.57777777777775</v>
      </c>
    </row>
    <row r="219" spans="1:41" x14ac:dyDescent="0.45">
      <c r="A219" t="s">
        <v>33</v>
      </c>
      <c r="B219">
        <v>2019</v>
      </c>
      <c r="C219" t="s">
        <v>31</v>
      </c>
      <c r="D219">
        <v>147.69999999999999</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128.6</v>
      </c>
      <c r="W219">
        <v>136.30000000000001</v>
      </c>
      <c r="X219">
        <v>137.80000000000001</v>
      </c>
      <c r="Y219">
        <v>118.6</v>
      </c>
      <c r="Z219">
        <v>131.9</v>
      </c>
      <c r="AA219">
        <v>146.6</v>
      </c>
      <c r="AB219">
        <v>131.69999999999999</v>
      </c>
      <c r="AC219">
        <v>131.80000000000001</v>
      </c>
      <c r="AD219">
        <v>138</v>
      </c>
      <c r="AE219">
        <f t="shared" si="40"/>
        <v>137.30000000000001</v>
      </c>
      <c r="AF219">
        <f t="shared" si="39"/>
        <v>147.69999999999999</v>
      </c>
      <c r="AG219">
        <f t="shared" si="41"/>
        <v>146.6</v>
      </c>
      <c r="AH219">
        <f t="shared" si="42"/>
        <v>128.6</v>
      </c>
      <c r="AI219">
        <f t="shared" si="43"/>
        <v>137.80000000000001</v>
      </c>
      <c r="AJ219">
        <f t="shared" si="43"/>
        <v>118.6</v>
      </c>
      <c r="AK219">
        <f t="shared" si="44"/>
        <v>136.39999999999998</v>
      </c>
      <c r="AL219">
        <f t="shared" si="45"/>
        <v>131.9</v>
      </c>
      <c r="AM219">
        <f t="shared" si="46"/>
        <v>164.7</v>
      </c>
      <c r="AN219">
        <f t="shared" si="47"/>
        <v>134.05000000000001</v>
      </c>
      <c r="AO219">
        <f t="shared" si="48"/>
        <v>138.36500000000001</v>
      </c>
    </row>
    <row r="220" spans="1:41" x14ac:dyDescent="0.45">
      <c r="A220" t="s">
        <v>34</v>
      </c>
      <c r="B220">
        <v>2019</v>
      </c>
      <c r="C220" t="s">
        <v>31</v>
      </c>
      <c r="D220">
        <v>147.69999999999999</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139.5</v>
      </c>
      <c r="W220">
        <v>143.6</v>
      </c>
      <c r="X220">
        <v>145.1</v>
      </c>
      <c r="Y220">
        <v>123.3</v>
      </c>
      <c r="Z220">
        <v>136.69999999999999</v>
      </c>
      <c r="AA220">
        <v>150.19999999999999</v>
      </c>
      <c r="AB220">
        <v>132.80000000000001</v>
      </c>
      <c r="AC220">
        <v>136.9</v>
      </c>
      <c r="AD220">
        <v>139.6</v>
      </c>
      <c r="AE220">
        <f t="shared" si="40"/>
        <v>137.4</v>
      </c>
      <c r="AF220">
        <f t="shared" si="39"/>
        <v>147.69999999999999</v>
      </c>
      <c r="AG220">
        <f t="shared" si="41"/>
        <v>150.19999999999999</v>
      </c>
      <c r="AH220">
        <f t="shared" si="42"/>
        <v>139.5</v>
      </c>
      <c r="AI220">
        <f t="shared" si="43"/>
        <v>145.1</v>
      </c>
      <c r="AJ220">
        <f t="shared" si="43"/>
        <v>123.3</v>
      </c>
      <c r="AK220">
        <f t="shared" si="44"/>
        <v>139.60000000000002</v>
      </c>
      <c r="AL220">
        <f t="shared" si="45"/>
        <v>136.69999999999999</v>
      </c>
      <c r="AM220">
        <f t="shared" si="46"/>
        <v>163.19999999999999</v>
      </c>
      <c r="AN220">
        <f t="shared" si="47"/>
        <v>140.25</v>
      </c>
      <c r="AO220">
        <f t="shared" si="48"/>
        <v>142.29500000000002</v>
      </c>
    </row>
    <row r="221" spans="1:41" x14ac:dyDescent="0.45">
      <c r="A221" t="s">
        <v>30</v>
      </c>
      <c r="B221">
        <v>2019</v>
      </c>
      <c r="C221" t="s">
        <v>35</v>
      </c>
      <c r="D221" t="s">
        <v>32</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v>145.30000000000001</v>
      </c>
      <c r="W221">
        <v>150.1</v>
      </c>
      <c r="X221">
        <v>149.9</v>
      </c>
      <c r="Y221">
        <v>129.19999999999999</v>
      </c>
      <c r="Z221">
        <v>143.4</v>
      </c>
      <c r="AA221">
        <v>155.5</v>
      </c>
      <c r="AB221">
        <v>134.9</v>
      </c>
      <c r="AC221">
        <v>142.19999999999999</v>
      </c>
      <c r="AD221">
        <v>141</v>
      </c>
      <c r="AE221">
        <f t="shared" si="40"/>
        <v>137.19999999999999</v>
      </c>
      <c r="AF221" t="str">
        <f t="shared" si="39"/>
        <v>NA</v>
      </c>
      <c r="AG221">
        <f t="shared" si="41"/>
        <v>155.5</v>
      </c>
      <c r="AH221">
        <f t="shared" si="42"/>
        <v>145.30000000000001</v>
      </c>
      <c r="AI221">
        <f t="shared" si="43"/>
        <v>149.9</v>
      </c>
      <c r="AJ221">
        <f t="shared" si="43"/>
        <v>129.19999999999999</v>
      </c>
      <c r="AK221">
        <f t="shared" si="44"/>
        <v>142.4</v>
      </c>
      <c r="AL221">
        <f t="shared" si="45"/>
        <v>143.4</v>
      </c>
      <c r="AM221">
        <f t="shared" si="46"/>
        <v>162.80000000000001</v>
      </c>
      <c r="AN221">
        <f t="shared" si="47"/>
        <v>146.14999999999998</v>
      </c>
      <c r="AO221">
        <f t="shared" si="48"/>
        <v>145.76111111111109</v>
      </c>
    </row>
    <row r="222" spans="1:41" x14ac:dyDescent="0.45">
      <c r="A222" t="s">
        <v>33</v>
      </c>
      <c r="B222">
        <v>2019</v>
      </c>
      <c r="C222" t="s">
        <v>35</v>
      </c>
      <c r="D222">
        <v>148.5</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127.1</v>
      </c>
      <c r="W222">
        <v>136.6</v>
      </c>
      <c r="X222">
        <v>138.5</v>
      </c>
      <c r="Y222">
        <v>119.2</v>
      </c>
      <c r="Z222">
        <v>132.19999999999999</v>
      </c>
      <c r="AA222">
        <v>146.6</v>
      </c>
      <c r="AB222">
        <v>133</v>
      </c>
      <c r="AC222">
        <v>132.4</v>
      </c>
      <c r="AD222">
        <v>138.6</v>
      </c>
      <c r="AE222">
        <f t="shared" si="40"/>
        <v>138</v>
      </c>
      <c r="AF222">
        <f t="shared" si="39"/>
        <v>148.5</v>
      </c>
      <c r="AG222">
        <f t="shared" si="41"/>
        <v>146.6</v>
      </c>
      <c r="AH222">
        <f t="shared" si="42"/>
        <v>127.1</v>
      </c>
      <c r="AI222">
        <f t="shared" si="43"/>
        <v>138.5</v>
      </c>
      <c r="AJ222">
        <f t="shared" si="43"/>
        <v>119.2</v>
      </c>
      <c r="AK222">
        <f t="shared" si="44"/>
        <v>137.19999999999999</v>
      </c>
      <c r="AL222">
        <f t="shared" si="45"/>
        <v>132.19999999999999</v>
      </c>
      <c r="AM222">
        <f t="shared" si="46"/>
        <v>164.9</v>
      </c>
      <c r="AN222">
        <f t="shared" si="47"/>
        <v>134.5</v>
      </c>
      <c r="AO222">
        <f t="shared" si="48"/>
        <v>138.67000000000002</v>
      </c>
    </row>
    <row r="223" spans="1:41" x14ac:dyDescent="0.45">
      <c r="A223" t="s">
        <v>34</v>
      </c>
      <c r="B223">
        <v>2019</v>
      </c>
      <c r="C223" t="s">
        <v>35</v>
      </c>
      <c r="D223">
        <v>148.5</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138.4</v>
      </c>
      <c r="W223">
        <v>143.69999999999999</v>
      </c>
      <c r="X223">
        <v>145.6</v>
      </c>
      <c r="Y223">
        <v>123.9</v>
      </c>
      <c r="Z223">
        <v>137.1</v>
      </c>
      <c r="AA223">
        <v>150.30000000000001</v>
      </c>
      <c r="AB223">
        <v>134.1</v>
      </c>
      <c r="AC223">
        <v>137.4</v>
      </c>
      <c r="AD223">
        <v>139.9</v>
      </c>
      <c r="AE223">
        <f t="shared" si="40"/>
        <v>137.5</v>
      </c>
      <c r="AF223">
        <f t="shared" si="39"/>
        <v>148.5</v>
      </c>
      <c r="AG223">
        <f t="shared" si="41"/>
        <v>150.30000000000001</v>
      </c>
      <c r="AH223">
        <f t="shared" si="42"/>
        <v>138.4</v>
      </c>
      <c r="AI223">
        <f t="shared" si="43"/>
        <v>145.6</v>
      </c>
      <c r="AJ223">
        <f t="shared" si="43"/>
        <v>123.9</v>
      </c>
      <c r="AK223">
        <f t="shared" si="44"/>
        <v>140.30000000000001</v>
      </c>
      <c r="AL223">
        <f t="shared" si="45"/>
        <v>137.1</v>
      </c>
      <c r="AM223">
        <f t="shared" si="46"/>
        <v>163.4</v>
      </c>
      <c r="AN223">
        <f t="shared" si="47"/>
        <v>140.55000000000001</v>
      </c>
      <c r="AO223">
        <f t="shared" si="48"/>
        <v>142.55500000000001</v>
      </c>
    </row>
    <row r="224" spans="1:41" x14ac:dyDescent="0.45">
      <c r="A224" t="s">
        <v>30</v>
      </c>
      <c r="B224">
        <v>2019</v>
      </c>
      <c r="C224" t="s">
        <v>36</v>
      </c>
      <c r="D224" t="s">
        <v>32</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v>146.4</v>
      </c>
      <c r="W224">
        <v>150</v>
      </c>
      <c r="X224">
        <v>150.4</v>
      </c>
      <c r="Y224">
        <v>129.9</v>
      </c>
      <c r="Z224">
        <v>143.80000000000001</v>
      </c>
      <c r="AA224">
        <v>155.5</v>
      </c>
      <c r="AB224">
        <v>134</v>
      </c>
      <c r="AC224">
        <v>142.4</v>
      </c>
      <c r="AD224">
        <v>141.19999999999999</v>
      </c>
      <c r="AE224">
        <f t="shared" si="40"/>
        <v>137.30000000000001</v>
      </c>
      <c r="AF224" t="str">
        <f t="shared" si="39"/>
        <v>NA</v>
      </c>
      <c r="AG224">
        <f t="shared" si="41"/>
        <v>155.5</v>
      </c>
      <c r="AH224">
        <f t="shared" si="42"/>
        <v>146.4</v>
      </c>
      <c r="AI224">
        <f t="shared" si="43"/>
        <v>150.4</v>
      </c>
      <c r="AJ224">
        <f t="shared" si="43"/>
        <v>129.9</v>
      </c>
      <c r="AK224">
        <f t="shared" si="44"/>
        <v>142.05000000000001</v>
      </c>
      <c r="AL224">
        <f t="shared" si="45"/>
        <v>143.80000000000001</v>
      </c>
      <c r="AM224">
        <f t="shared" si="46"/>
        <v>162.9</v>
      </c>
      <c r="AN224">
        <f t="shared" si="47"/>
        <v>146.19999999999999</v>
      </c>
      <c r="AO224">
        <f t="shared" si="48"/>
        <v>146.05000000000001</v>
      </c>
    </row>
    <row r="225" spans="1:41" x14ac:dyDescent="0.45">
      <c r="A225" t="s">
        <v>33</v>
      </c>
      <c r="B225">
        <v>2019</v>
      </c>
      <c r="C225" t="s">
        <v>36</v>
      </c>
      <c r="D225">
        <v>149</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128.80000000000001</v>
      </c>
      <c r="W225">
        <v>136.80000000000001</v>
      </c>
      <c r="X225">
        <v>139.19999999999999</v>
      </c>
      <c r="Y225">
        <v>119.9</v>
      </c>
      <c r="Z225">
        <v>133</v>
      </c>
      <c r="AA225">
        <v>146.69999999999999</v>
      </c>
      <c r="AB225">
        <v>132.5</v>
      </c>
      <c r="AC225">
        <v>132.80000000000001</v>
      </c>
      <c r="AD225">
        <v>139.5</v>
      </c>
      <c r="AE225">
        <f t="shared" si="40"/>
        <v>139.6</v>
      </c>
      <c r="AF225">
        <f t="shared" si="39"/>
        <v>149</v>
      </c>
      <c r="AG225">
        <f t="shared" si="41"/>
        <v>146.69999999999999</v>
      </c>
      <c r="AH225">
        <f t="shared" si="42"/>
        <v>128.80000000000001</v>
      </c>
      <c r="AI225">
        <f t="shared" si="43"/>
        <v>139.19999999999999</v>
      </c>
      <c r="AJ225">
        <f t="shared" si="43"/>
        <v>119.9</v>
      </c>
      <c r="AK225">
        <f t="shared" si="44"/>
        <v>137.05000000000001</v>
      </c>
      <c r="AL225">
        <f t="shared" si="45"/>
        <v>133</v>
      </c>
      <c r="AM225">
        <f t="shared" si="46"/>
        <v>165.3</v>
      </c>
      <c r="AN225">
        <f t="shared" si="47"/>
        <v>134.80000000000001</v>
      </c>
      <c r="AO225">
        <f t="shared" si="48"/>
        <v>139.33499999999998</v>
      </c>
    </row>
    <row r="226" spans="1:41" x14ac:dyDescent="0.45">
      <c r="A226" t="s">
        <v>34</v>
      </c>
      <c r="B226">
        <v>2019</v>
      </c>
      <c r="C226" t="s">
        <v>36</v>
      </c>
      <c r="D226">
        <v>149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139.69999999999999</v>
      </c>
      <c r="W226">
        <v>143.80000000000001</v>
      </c>
      <c r="X226">
        <v>146.19999999999999</v>
      </c>
      <c r="Y226">
        <v>124.6</v>
      </c>
      <c r="Z226">
        <v>137.69999999999999</v>
      </c>
      <c r="AA226">
        <v>150.30000000000001</v>
      </c>
      <c r="AB226">
        <v>133.4</v>
      </c>
      <c r="AC226">
        <v>137.69999999999999</v>
      </c>
      <c r="AD226">
        <v>140.4</v>
      </c>
      <c r="AE226">
        <f t="shared" si="40"/>
        <v>138.1</v>
      </c>
      <c r="AF226">
        <f t="shared" si="39"/>
        <v>149</v>
      </c>
      <c r="AG226">
        <f t="shared" si="41"/>
        <v>150.30000000000001</v>
      </c>
      <c r="AH226">
        <f t="shared" si="42"/>
        <v>139.69999999999999</v>
      </c>
      <c r="AI226">
        <f t="shared" si="43"/>
        <v>146.19999999999999</v>
      </c>
      <c r="AJ226">
        <f t="shared" si="43"/>
        <v>124.6</v>
      </c>
      <c r="AK226">
        <f t="shared" si="44"/>
        <v>140.05000000000001</v>
      </c>
      <c r="AL226">
        <f t="shared" si="45"/>
        <v>137.69999999999999</v>
      </c>
      <c r="AM226">
        <f t="shared" si="46"/>
        <v>163.5</v>
      </c>
      <c r="AN226">
        <f t="shared" si="47"/>
        <v>140.75</v>
      </c>
      <c r="AO226">
        <f t="shared" si="48"/>
        <v>142.99</v>
      </c>
    </row>
    <row r="227" spans="1:41" x14ac:dyDescent="0.45">
      <c r="A227" t="s">
        <v>30</v>
      </c>
      <c r="B227">
        <v>2019</v>
      </c>
      <c r="C227" t="s">
        <v>38</v>
      </c>
      <c r="D227" t="s">
        <v>32</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v>146.9</v>
      </c>
      <c r="W227">
        <v>149.5</v>
      </c>
      <c r="X227">
        <v>151.30000000000001</v>
      </c>
      <c r="Y227">
        <v>130.19999999999999</v>
      </c>
      <c r="Z227">
        <v>145.9</v>
      </c>
      <c r="AA227">
        <v>156.69999999999999</v>
      </c>
      <c r="AB227">
        <v>133.9</v>
      </c>
      <c r="AC227">
        <v>142.9</v>
      </c>
      <c r="AD227">
        <v>142.4</v>
      </c>
      <c r="AE227">
        <f t="shared" si="40"/>
        <v>139.19999999999999</v>
      </c>
      <c r="AF227" t="str">
        <f t="shared" si="39"/>
        <v>NA</v>
      </c>
      <c r="AG227">
        <f t="shared" si="41"/>
        <v>156.69999999999999</v>
      </c>
      <c r="AH227">
        <f t="shared" si="42"/>
        <v>146.9</v>
      </c>
      <c r="AI227">
        <f t="shared" si="43"/>
        <v>151.30000000000001</v>
      </c>
      <c r="AJ227">
        <f t="shared" si="43"/>
        <v>130.19999999999999</v>
      </c>
      <c r="AK227">
        <f t="shared" si="44"/>
        <v>142.30000000000001</v>
      </c>
      <c r="AL227">
        <f t="shared" si="45"/>
        <v>145.9</v>
      </c>
      <c r="AM227">
        <f t="shared" si="46"/>
        <v>163.30000000000001</v>
      </c>
      <c r="AN227">
        <f t="shared" si="47"/>
        <v>146.19999999999999</v>
      </c>
      <c r="AO227">
        <f t="shared" si="48"/>
        <v>146.88888888888889</v>
      </c>
    </row>
    <row r="228" spans="1:41" x14ac:dyDescent="0.45">
      <c r="A228" t="s">
        <v>33</v>
      </c>
      <c r="B228">
        <v>2019</v>
      </c>
      <c r="C228" t="s">
        <v>38</v>
      </c>
      <c r="D228">
        <v>150.1</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129.4</v>
      </c>
      <c r="W228">
        <v>137.19999999999999</v>
      </c>
      <c r="X228">
        <v>139.80000000000001</v>
      </c>
      <c r="Y228">
        <v>120.1</v>
      </c>
      <c r="Z228">
        <v>134</v>
      </c>
      <c r="AA228">
        <v>148</v>
      </c>
      <c r="AB228">
        <v>132.6</v>
      </c>
      <c r="AC228">
        <v>133.30000000000001</v>
      </c>
      <c r="AD228">
        <v>141.5</v>
      </c>
      <c r="AE228">
        <f t="shared" si="40"/>
        <v>143.80000000000001</v>
      </c>
      <c r="AF228">
        <f t="shared" si="39"/>
        <v>150.1</v>
      </c>
      <c r="AG228">
        <f t="shared" si="41"/>
        <v>148</v>
      </c>
      <c r="AH228">
        <f t="shared" si="42"/>
        <v>129.4</v>
      </c>
      <c r="AI228">
        <f t="shared" si="43"/>
        <v>139.80000000000001</v>
      </c>
      <c r="AJ228">
        <f t="shared" si="43"/>
        <v>120.1</v>
      </c>
      <c r="AK228">
        <f t="shared" si="44"/>
        <v>137.39999999999998</v>
      </c>
      <c r="AL228">
        <f t="shared" si="45"/>
        <v>134</v>
      </c>
      <c r="AM228">
        <f t="shared" si="46"/>
        <v>166.2</v>
      </c>
      <c r="AN228">
        <f t="shared" si="47"/>
        <v>135.25</v>
      </c>
      <c r="AO228">
        <f t="shared" si="48"/>
        <v>140.405</v>
      </c>
    </row>
    <row r="229" spans="1:41" x14ac:dyDescent="0.45">
      <c r="A229" t="s">
        <v>34</v>
      </c>
      <c r="B229">
        <v>2019</v>
      </c>
      <c r="C229" t="s">
        <v>38</v>
      </c>
      <c r="D229">
        <v>150.1</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140.30000000000001</v>
      </c>
      <c r="W229">
        <v>143.69999999999999</v>
      </c>
      <c r="X229">
        <v>146.9</v>
      </c>
      <c r="Y229">
        <v>124.9</v>
      </c>
      <c r="Z229">
        <v>139.19999999999999</v>
      </c>
      <c r="AA229">
        <v>151.6</v>
      </c>
      <c r="AB229">
        <v>133.4</v>
      </c>
      <c r="AC229">
        <v>138.19999999999999</v>
      </c>
      <c r="AD229">
        <v>142</v>
      </c>
      <c r="AE229">
        <f t="shared" si="40"/>
        <v>140.9</v>
      </c>
      <c r="AF229">
        <f t="shared" si="39"/>
        <v>150.1</v>
      </c>
      <c r="AG229">
        <f t="shared" si="41"/>
        <v>151.6</v>
      </c>
      <c r="AH229">
        <f t="shared" si="42"/>
        <v>140.30000000000001</v>
      </c>
      <c r="AI229">
        <f t="shared" si="43"/>
        <v>146.9</v>
      </c>
      <c r="AJ229">
        <f t="shared" si="43"/>
        <v>124.9</v>
      </c>
      <c r="AK229">
        <f t="shared" si="44"/>
        <v>140.35000000000002</v>
      </c>
      <c r="AL229">
        <f t="shared" si="45"/>
        <v>139.19999999999999</v>
      </c>
      <c r="AM229">
        <f t="shared" si="46"/>
        <v>164.1</v>
      </c>
      <c r="AN229">
        <f t="shared" si="47"/>
        <v>140.94999999999999</v>
      </c>
      <c r="AO229">
        <f t="shared" si="48"/>
        <v>143.93</v>
      </c>
    </row>
    <row r="230" spans="1:41" x14ac:dyDescent="0.45">
      <c r="A230" t="s">
        <v>30</v>
      </c>
      <c r="B230">
        <v>2019</v>
      </c>
      <c r="C230" t="s">
        <v>39</v>
      </c>
      <c r="D230" t="s">
        <v>32</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v>147.80000000000001</v>
      </c>
      <c r="W230">
        <v>149.6</v>
      </c>
      <c r="X230">
        <v>151.69999999999999</v>
      </c>
      <c r="Y230">
        <v>130.19999999999999</v>
      </c>
      <c r="Z230">
        <v>146.4</v>
      </c>
      <c r="AA230">
        <v>157.69999999999999</v>
      </c>
      <c r="AB230">
        <v>134.80000000000001</v>
      </c>
      <c r="AC230">
        <v>143.30000000000001</v>
      </c>
      <c r="AD230">
        <v>143.6</v>
      </c>
      <c r="AE230">
        <f t="shared" si="40"/>
        <v>141</v>
      </c>
      <c r="AF230" t="str">
        <f t="shared" si="39"/>
        <v>NA</v>
      </c>
      <c r="AG230">
        <f t="shared" si="41"/>
        <v>157.69999999999999</v>
      </c>
      <c r="AH230">
        <f t="shared" si="42"/>
        <v>147.80000000000001</v>
      </c>
      <c r="AI230">
        <f t="shared" si="43"/>
        <v>151.69999999999999</v>
      </c>
      <c r="AJ230">
        <f t="shared" si="43"/>
        <v>130.19999999999999</v>
      </c>
      <c r="AK230">
        <f t="shared" si="44"/>
        <v>142.75</v>
      </c>
      <c r="AL230">
        <f t="shared" si="45"/>
        <v>146.4</v>
      </c>
      <c r="AM230">
        <f t="shared" si="46"/>
        <v>164.2</v>
      </c>
      <c r="AN230">
        <f t="shared" si="47"/>
        <v>146.44999999999999</v>
      </c>
      <c r="AO230">
        <f t="shared" si="48"/>
        <v>147.57777777777778</v>
      </c>
    </row>
    <row r="231" spans="1:41" x14ac:dyDescent="0.45">
      <c r="A231" t="s">
        <v>33</v>
      </c>
      <c r="B231">
        <v>2019</v>
      </c>
      <c r="C231" t="s">
        <v>39</v>
      </c>
      <c r="D231">
        <v>149.4</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130.5</v>
      </c>
      <c r="W231">
        <v>137.4</v>
      </c>
      <c r="X231">
        <v>140.30000000000001</v>
      </c>
      <c r="Y231">
        <v>119.6</v>
      </c>
      <c r="Z231">
        <v>134.30000000000001</v>
      </c>
      <c r="AA231">
        <v>148.9</v>
      </c>
      <c r="AB231">
        <v>133.69999999999999</v>
      </c>
      <c r="AC231">
        <v>133.6</v>
      </c>
      <c r="AD231">
        <v>142.1</v>
      </c>
      <c r="AE231">
        <f t="shared" si="40"/>
        <v>145.6</v>
      </c>
      <c r="AF231">
        <f t="shared" si="39"/>
        <v>149.4</v>
      </c>
      <c r="AG231">
        <f t="shared" si="41"/>
        <v>148.9</v>
      </c>
      <c r="AH231">
        <f t="shared" si="42"/>
        <v>130.5</v>
      </c>
      <c r="AI231">
        <f t="shared" si="43"/>
        <v>140.30000000000001</v>
      </c>
      <c r="AJ231">
        <f t="shared" si="43"/>
        <v>119.6</v>
      </c>
      <c r="AK231">
        <f t="shared" si="44"/>
        <v>138.05000000000001</v>
      </c>
      <c r="AL231">
        <f t="shared" si="45"/>
        <v>134.30000000000001</v>
      </c>
      <c r="AM231">
        <f t="shared" si="46"/>
        <v>166.7</v>
      </c>
      <c r="AN231">
        <f t="shared" si="47"/>
        <v>135.5</v>
      </c>
      <c r="AO231">
        <f t="shared" si="48"/>
        <v>140.88500000000002</v>
      </c>
    </row>
    <row r="232" spans="1:41" x14ac:dyDescent="0.45">
      <c r="A232" t="s">
        <v>34</v>
      </c>
      <c r="B232">
        <v>2019</v>
      </c>
      <c r="C232" t="s">
        <v>39</v>
      </c>
      <c r="D232">
        <v>149.4</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141.19999999999999</v>
      </c>
      <c r="W232">
        <v>143.80000000000001</v>
      </c>
      <c r="X232">
        <v>147.4</v>
      </c>
      <c r="Y232">
        <v>124.6</v>
      </c>
      <c r="Z232">
        <v>139.6</v>
      </c>
      <c r="AA232">
        <v>152.5</v>
      </c>
      <c r="AB232">
        <v>134.30000000000001</v>
      </c>
      <c r="AC232">
        <v>138.6</v>
      </c>
      <c r="AD232">
        <v>142.9</v>
      </c>
      <c r="AE232">
        <f t="shared" si="40"/>
        <v>142.69999999999999</v>
      </c>
      <c r="AF232">
        <f t="shared" si="39"/>
        <v>149.4</v>
      </c>
      <c r="AG232">
        <f t="shared" si="41"/>
        <v>152.5</v>
      </c>
      <c r="AH232">
        <f t="shared" si="42"/>
        <v>141.19999999999999</v>
      </c>
      <c r="AI232">
        <f t="shared" si="43"/>
        <v>147.4</v>
      </c>
      <c r="AJ232">
        <f t="shared" si="43"/>
        <v>124.6</v>
      </c>
      <c r="AK232">
        <f t="shared" si="44"/>
        <v>140.85000000000002</v>
      </c>
      <c r="AL232">
        <f t="shared" si="45"/>
        <v>139.6</v>
      </c>
      <c r="AM232">
        <f t="shared" si="46"/>
        <v>164.9</v>
      </c>
      <c r="AN232">
        <f t="shared" si="47"/>
        <v>141.19999999999999</v>
      </c>
      <c r="AO232">
        <f t="shared" si="48"/>
        <v>144.435</v>
      </c>
    </row>
    <row r="233" spans="1:41" x14ac:dyDescent="0.45">
      <c r="A233" t="s">
        <v>30</v>
      </c>
      <c r="B233">
        <v>2019</v>
      </c>
      <c r="C233" t="s">
        <v>40</v>
      </c>
      <c r="D233" t="s">
        <v>32</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v>146.80000000000001</v>
      </c>
      <c r="W233">
        <v>150</v>
      </c>
      <c r="X233">
        <v>152.19999999999999</v>
      </c>
      <c r="Y233">
        <v>131.19999999999999</v>
      </c>
      <c r="Z233">
        <v>147.5</v>
      </c>
      <c r="AA233">
        <v>159.1</v>
      </c>
      <c r="AB233">
        <v>136.1</v>
      </c>
      <c r="AC233">
        <v>144.19999999999999</v>
      </c>
      <c r="AD233">
        <v>144.9</v>
      </c>
      <c r="AE233">
        <f t="shared" si="40"/>
        <v>143</v>
      </c>
      <c r="AF233" t="str">
        <f t="shared" si="39"/>
        <v>NA</v>
      </c>
      <c r="AG233">
        <f t="shared" si="41"/>
        <v>159.1</v>
      </c>
      <c r="AH233">
        <f t="shared" si="42"/>
        <v>146.80000000000001</v>
      </c>
      <c r="AI233">
        <f t="shared" si="43"/>
        <v>152.19999999999999</v>
      </c>
      <c r="AJ233">
        <f t="shared" si="43"/>
        <v>131.19999999999999</v>
      </c>
      <c r="AK233">
        <f t="shared" si="44"/>
        <v>143.5</v>
      </c>
      <c r="AL233">
        <f t="shared" si="45"/>
        <v>147.5</v>
      </c>
      <c r="AM233">
        <f t="shared" si="46"/>
        <v>164.5</v>
      </c>
      <c r="AN233">
        <f t="shared" si="47"/>
        <v>147.1</v>
      </c>
      <c r="AO233">
        <f t="shared" si="48"/>
        <v>148.32222222222219</v>
      </c>
    </row>
    <row r="234" spans="1:41" x14ac:dyDescent="0.45">
      <c r="A234" t="s">
        <v>33</v>
      </c>
      <c r="B234">
        <v>2019</v>
      </c>
      <c r="C234" t="s">
        <v>40</v>
      </c>
      <c r="D234">
        <v>150.6</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127</v>
      </c>
      <c r="W234">
        <v>137.69999999999999</v>
      </c>
      <c r="X234">
        <v>140.80000000000001</v>
      </c>
      <c r="Y234">
        <v>120.6</v>
      </c>
      <c r="Z234">
        <v>135</v>
      </c>
      <c r="AA234">
        <v>150.4</v>
      </c>
      <c r="AB234">
        <v>135.1</v>
      </c>
      <c r="AC234">
        <v>134.5</v>
      </c>
      <c r="AD234">
        <v>143.30000000000001</v>
      </c>
      <c r="AE234">
        <f t="shared" si="40"/>
        <v>147.69999999999999</v>
      </c>
      <c r="AF234">
        <f t="shared" si="39"/>
        <v>150.6</v>
      </c>
      <c r="AG234">
        <f t="shared" si="41"/>
        <v>150.4</v>
      </c>
      <c r="AH234">
        <f t="shared" si="42"/>
        <v>127</v>
      </c>
      <c r="AI234">
        <f t="shared" si="43"/>
        <v>140.80000000000001</v>
      </c>
      <c r="AJ234">
        <f t="shared" si="43"/>
        <v>120.6</v>
      </c>
      <c r="AK234">
        <f t="shared" si="44"/>
        <v>138.89999999999998</v>
      </c>
      <c r="AL234">
        <f t="shared" si="45"/>
        <v>135</v>
      </c>
      <c r="AM234">
        <f t="shared" si="46"/>
        <v>167.2</v>
      </c>
      <c r="AN234">
        <f t="shared" si="47"/>
        <v>136.1</v>
      </c>
      <c r="AO234">
        <f t="shared" si="48"/>
        <v>141.43</v>
      </c>
    </row>
    <row r="235" spans="1:41" x14ac:dyDescent="0.45">
      <c r="A235" t="s">
        <v>34</v>
      </c>
      <c r="B235">
        <v>2019</v>
      </c>
      <c r="C235" t="s">
        <v>40</v>
      </c>
      <c r="D235">
        <v>150.6</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139.30000000000001</v>
      </c>
      <c r="W235">
        <v>144.19999999999999</v>
      </c>
      <c r="X235">
        <v>147.9</v>
      </c>
      <c r="Y235">
        <v>125.6</v>
      </c>
      <c r="Z235">
        <v>140.5</v>
      </c>
      <c r="AA235">
        <v>154</v>
      </c>
      <c r="AB235">
        <v>135.69999999999999</v>
      </c>
      <c r="AC235">
        <v>139.5</v>
      </c>
      <c r="AD235">
        <v>144.19999999999999</v>
      </c>
      <c r="AE235">
        <f t="shared" si="40"/>
        <v>144.69999999999999</v>
      </c>
      <c r="AF235">
        <f t="shared" si="39"/>
        <v>150.6</v>
      </c>
      <c r="AG235">
        <f t="shared" si="41"/>
        <v>154</v>
      </c>
      <c r="AH235">
        <f t="shared" si="42"/>
        <v>139.30000000000001</v>
      </c>
      <c r="AI235">
        <f t="shared" si="43"/>
        <v>147.9</v>
      </c>
      <c r="AJ235">
        <f t="shared" si="43"/>
        <v>125.6</v>
      </c>
      <c r="AK235">
        <f t="shared" si="44"/>
        <v>141.64999999999998</v>
      </c>
      <c r="AL235">
        <f t="shared" si="45"/>
        <v>140.5</v>
      </c>
      <c r="AM235">
        <f t="shared" si="46"/>
        <v>165.2</v>
      </c>
      <c r="AN235">
        <f t="shared" si="47"/>
        <v>141.85</v>
      </c>
      <c r="AO235">
        <f t="shared" si="48"/>
        <v>145.13</v>
      </c>
    </row>
    <row r="236" spans="1:41" x14ac:dyDescent="0.45">
      <c r="A236" t="s">
        <v>30</v>
      </c>
      <c r="B236">
        <v>2019</v>
      </c>
      <c r="C236" t="s">
        <v>41</v>
      </c>
      <c r="D236" t="s">
        <v>32</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v>146.4</v>
      </c>
      <c r="W236">
        <v>150.19999999999999</v>
      </c>
      <c r="X236">
        <v>152.69999999999999</v>
      </c>
      <c r="Y236">
        <v>131.4</v>
      </c>
      <c r="Z236">
        <v>148</v>
      </c>
      <c r="AA236">
        <v>159.69999999999999</v>
      </c>
      <c r="AB236">
        <v>138.80000000000001</v>
      </c>
      <c r="AC236">
        <v>144.9</v>
      </c>
      <c r="AD236">
        <v>145.69999999999999</v>
      </c>
      <c r="AE236">
        <f t="shared" si="40"/>
        <v>144</v>
      </c>
      <c r="AF236" t="str">
        <f t="shared" si="39"/>
        <v>NA</v>
      </c>
      <c r="AG236">
        <f t="shared" si="41"/>
        <v>159.69999999999999</v>
      </c>
      <c r="AH236">
        <f t="shared" si="42"/>
        <v>146.4</v>
      </c>
      <c r="AI236">
        <f t="shared" si="43"/>
        <v>152.69999999999999</v>
      </c>
      <c r="AJ236">
        <f t="shared" si="43"/>
        <v>131.4</v>
      </c>
      <c r="AK236">
        <f t="shared" si="44"/>
        <v>144.94999999999999</v>
      </c>
      <c r="AL236">
        <f t="shared" si="45"/>
        <v>148</v>
      </c>
      <c r="AM236">
        <f t="shared" si="46"/>
        <v>165.1</v>
      </c>
      <c r="AN236">
        <f t="shared" si="47"/>
        <v>147.55000000000001</v>
      </c>
      <c r="AO236">
        <f t="shared" si="48"/>
        <v>148.86666666666665</v>
      </c>
    </row>
    <row r="237" spans="1:41" x14ac:dyDescent="0.45">
      <c r="A237" t="s">
        <v>33</v>
      </c>
      <c r="B237">
        <v>2019</v>
      </c>
      <c r="C237" t="s">
        <v>41</v>
      </c>
      <c r="D237">
        <v>151.6</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125.5</v>
      </c>
      <c r="W237">
        <v>138.1</v>
      </c>
      <c r="X237">
        <v>141.5</v>
      </c>
      <c r="Y237">
        <v>120.8</v>
      </c>
      <c r="Z237">
        <v>135.4</v>
      </c>
      <c r="AA237">
        <v>151.5</v>
      </c>
      <c r="AB237">
        <v>137.80000000000001</v>
      </c>
      <c r="AC237">
        <v>135.30000000000001</v>
      </c>
      <c r="AD237">
        <v>144.19999999999999</v>
      </c>
      <c r="AE237">
        <f t="shared" si="40"/>
        <v>149.1</v>
      </c>
      <c r="AF237">
        <f t="shared" si="39"/>
        <v>151.6</v>
      </c>
      <c r="AG237">
        <f t="shared" si="41"/>
        <v>151.5</v>
      </c>
      <c r="AH237">
        <f t="shared" si="42"/>
        <v>125.5</v>
      </c>
      <c r="AI237">
        <f t="shared" si="43"/>
        <v>141.5</v>
      </c>
      <c r="AJ237">
        <f t="shared" si="43"/>
        <v>120.8</v>
      </c>
      <c r="AK237">
        <f t="shared" si="44"/>
        <v>140.4</v>
      </c>
      <c r="AL237">
        <f t="shared" si="45"/>
        <v>135.4</v>
      </c>
      <c r="AM237">
        <f t="shared" si="46"/>
        <v>167.9</v>
      </c>
      <c r="AN237">
        <f t="shared" si="47"/>
        <v>136.69999999999999</v>
      </c>
      <c r="AO237">
        <f t="shared" si="48"/>
        <v>142.04000000000002</v>
      </c>
    </row>
    <row r="238" spans="1:41" x14ac:dyDescent="0.45">
      <c r="A238" t="s">
        <v>34</v>
      </c>
      <c r="B238">
        <v>2019</v>
      </c>
      <c r="C238" t="s">
        <v>41</v>
      </c>
      <c r="D238">
        <v>151.6</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138.5</v>
      </c>
      <c r="W238">
        <v>144.5</v>
      </c>
      <c r="X238">
        <v>148.5</v>
      </c>
      <c r="Y238">
        <v>125.8</v>
      </c>
      <c r="Z238">
        <v>140.9</v>
      </c>
      <c r="AA238">
        <v>154.9</v>
      </c>
      <c r="AB238">
        <v>138.4</v>
      </c>
      <c r="AC238">
        <v>140.19999999999999</v>
      </c>
      <c r="AD238">
        <v>145</v>
      </c>
      <c r="AE238">
        <f t="shared" si="40"/>
        <v>145.9</v>
      </c>
      <c r="AF238">
        <f t="shared" si="39"/>
        <v>151.6</v>
      </c>
      <c r="AG238">
        <f t="shared" si="41"/>
        <v>154.9</v>
      </c>
      <c r="AH238">
        <f t="shared" si="42"/>
        <v>138.5</v>
      </c>
      <c r="AI238">
        <f t="shared" si="43"/>
        <v>148.5</v>
      </c>
      <c r="AJ238">
        <f t="shared" si="43"/>
        <v>125.8</v>
      </c>
      <c r="AK238">
        <f t="shared" si="44"/>
        <v>143.15</v>
      </c>
      <c r="AL238">
        <f t="shared" si="45"/>
        <v>140.9</v>
      </c>
      <c r="AM238">
        <f t="shared" si="46"/>
        <v>165.8</v>
      </c>
      <c r="AN238">
        <f t="shared" si="47"/>
        <v>142.35</v>
      </c>
      <c r="AO238">
        <f t="shared" si="48"/>
        <v>145.73999999999998</v>
      </c>
    </row>
    <row r="239" spans="1:41" x14ac:dyDescent="0.45">
      <c r="A239" t="s">
        <v>30</v>
      </c>
      <c r="B239">
        <v>2019</v>
      </c>
      <c r="C239" t="s">
        <v>42</v>
      </c>
      <c r="D239" t="s">
        <v>32</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v>146.9</v>
      </c>
      <c r="W239">
        <v>150.30000000000001</v>
      </c>
      <c r="X239">
        <v>153.4</v>
      </c>
      <c r="Y239">
        <v>131.6</v>
      </c>
      <c r="Z239">
        <v>148.30000000000001</v>
      </c>
      <c r="AA239">
        <v>160.19999999999999</v>
      </c>
      <c r="AB239">
        <v>140.19999999999999</v>
      </c>
      <c r="AC239">
        <v>145.4</v>
      </c>
      <c r="AD239">
        <v>146.69999999999999</v>
      </c>
      <c r="AE239">
        <f t="shared" si="40"/>
        <v>145.5</v>
      </c>
      <c r="AF239" t="str">
        <f t="shared" si="39"/>
        <v>NA</v>
      </c>
      <c r="AG239">
        <f t="shared" si="41"/>
        <v>160.19999999999999</v>
      </c>
      <c r="AH239">
        <f t="shared" si="42"/>
        <v>146.9</v>
      </c>
      <c r="AI239">
        <f t="shared" si="43"/>
        <v>153.4</v>
      </c>
      <c r="AJ239">
        <f t="shared" si="43"/>
        <v>131.6</v>
      </c>
      <c r="AK239">
        <f t="shared" si="44"/>
        <v>145.6</v>
      </c>
      <c r="AL239">
        <f t="shared" si="45"/>
        <v>148.30000000000001</v>
      </c>
      <c r="AM239">
        <f t="shared" si="46"/>
        <v>165.7</v>
      </c>
      <c r="AN239">
        <f t="shared" si="47"/>
        <v>147.85000000000002</v>
      </c>
      <c r="AO239">
        <f t="shared" si="48"/>
        <v>149.45000000000002</v>
      </c>
    </row>
    <row r="240" spans="1:41" x14ac:dyDescent="0.45">
      <c r="A240" t="s">
        <v>33</v>
      </c>
      <c r="B240">
        <v>2019</v>
      </c>
      <c r="C240" t="s">
        <v>42</v>
      </c>
      <c r="D240">
        <v>152.19999999999999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126.6</v>
      </c>
      <c r="W240">
        <v>138.30000000000001</v>
      </c>
      <c r="X240">
        <v>141.9</v>
      </c>
      <c r="Y240">
        <v>121.2</v>
      </c>
      <c r="Z240">
        <v>135.9</v>
      </c>
      <c r="AA240">
        <v>151.6</v>
      </c>
      <c r="AB240">
        <v>139</v>
      </c>
      <c r="AC240">
        <v>135.69999999999999</v>
      </c>
      <c r="AD240">
        <v>144.69999999999999</v>
      </c>
      <c r="AE240">
        <f t="shared" si="40"/>
        <v>149.5</v>
      </c>
      <c r="AF240">
        <f t="shared" si="39"/>
        <v>152.19999999999999</v>
      </c>
      <c r="AG240">
        <f t="shared" si="41"/>
        <v>151.6</v>
      </c>
      <c r="AH240">
        <f t="shared" si="42"/>
        <v>126.6</v>
      </c>
      <c r="AI240">
        <f t="shared" si="43"/>
        <v>141.9</v>
      </c>
      <c r="AJ240">
        <f t="shared" si="43"/>
        <v>121.2</v>
      </c>
      <c r="AK240">
        <f t="shared" si="44"/>
        <v>141.15</v>
      </c>
      <c r="AL240">
        <f t="shared" si="45"/>
        <v>135.9</v>
      </c>
      <c r="AM240">
        <f t="shared" si="46"/>
        <v>168.6</v>
      </c>
      <c r="AN240">
        <f t="shared" si="47"/>
        <v>137</v>
      </c>
      <c r="AO240">
        <f t="shared" si="48"/>
        <v>142.565</v>
      </c>
    </row>
    <row r="241" spans="1:41" x14ac:dyDescent="0.45">
      <c r="A241" t="s">
        <v>34</v>
      </c>
      <c r="B241">
        <v>2019</v>
      </c>
      <c r="C241" t="s">
        <v>42</v>
      </c>
      <c r="D241">
        <v>152.19999999999999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139.19999999999999</v>
      </c>
      <c r="W241">
        <v>144.6</v>
      </c>
      <c r="X241">
        <v>149</v>
      </c>
      <c r="Y241">
        <v>126.1</v>
      </c>
      <c r="Z241">
        <v>141.30000000000001</v>
      </c>
      <c r="AA241">
        <v>155.19999999999999</v>
      </c>
      <c r="AB241">
        <v>139.69999999999999</v>
      </c>
      <c r="AC241">
        <v>140.69999999999999</v>
      </c>
      <c r="AD241">
        <v>145.80000000000001</v>
      </c>
      <c r="AE241">
        <f t="shared" si="40"/>
        <v>147</v>
      </c>
      <c r="AF241">
        <f t="shared" si="39"/>
        <v>152.19999999999999</v>
      </c>
      <c r="AG241">
        <f t="shared" si="41"/>
        <v>155.19999999999999</v>
      </c>
      <c r="AH241">
        <f t="shared" si="42"/>
        <v>139.19999999999999</v>
      </c>
      <c r="AI241">
        <f t="shared" si="43"/>
        <v>149</v>
      </c>
      <c r="AJ241">
        <f t="shared" si="43"/>
        <v>126.1</v>
      </c>
      <c r="AK241">
        <f t="shared" si="44"/>
        <v>143.80000000000001</v>
      </c>
      <c r="AL241">
        <f t="shared" si="45"/>
        <v>141.30000000000001</v>
      </c>
      <c r="AM241">
        <f t="shared" si="46"/>
        <v>166.5</v>
      </c>
      <c r="AN241">
        <f t="shared" si="47"/>
        <v>142.64999999999998</v>
      </c>
      <c r="AO241">
        <f t="shared" si="48"/>
        <v>146.29499999999999</v>
      </c>
    </row>
    <row r="242" spans="1:41" x14ac:dyDescent="0.45">
      <c r="A242" t="s">
        <v>30</v>
      </c>
      <c r="B242">
        <v>2019</v>
      </c>
      <c r="C242" t="s">
        <v>43</v>
      </c>
      <c r="D242" t="s">
        <v>32</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v>147.69999999999999</v>
      </c>
      <c r="W242">
        <v>150.6</v>
      </c>
      <c r="X242">
        <v>153.69999999999999</v>
      </c>
      <c r="Y242">
        <v>131.69999999999999</v>
      </c>
      <c r="Z242">
        <v>148.69999999999999</v>
      </c>
      <c r="AA242">
        <v>160.69999999999999</v>
      </c>
      <c r="AB242">
        <v>140.30000000000001</v>
      </c>
      <c r="AC242">
        <v>145.69999999999999</v>
      </c>
      <c r="AD242">
        <v>148.30000000000001</v>
      </c>
      <c r="AE242">
        <f t="shared" si="40"/>
        <v>148.30000000000001</v>
      </c>
      <c r="AF242" t="str">
        <f t="shared" si="39"/>
        <v>NA</v>
      </c>
      <c r="AG242">
        <f t="shared" si="41"/>
        <v>160.69999999999999</v>
      </c>
      <c r="AH242">
        <f t="shared" si="42"/>
        <v>147.69999999999999</v>
      </c>
      <c r="AI242">
        <f t="shared" si="43"/>
        <v>153.69999999999999</v>
      </c>
      <c r="AJ242">
        <f t="shared" si="43"/>
        <v>131.69999999999999</v>
      </c>
      <c r="AK242">
        <f t="shared" si="44"/>
        <v>145.65</v>
      </c>
      <c r="AL242">
        <f t="shared" si="45"/>
        <v>148.69999999999999</v>
      </c>
      <c r="AM242">
        <f t="shared" si="46"/>
        <v>166.3</v>
      </c>
      <c r="AN242">
        <f t="shared" si="47"/>
        <v>148.14999999999998</v>
      </c>
      <c r="AO242">
        <f t="shared" si="48"/>
        <v>150.09999999999997</v>
      </c>
    </row>
    <row r="243" spans="1:41" x14ac:dyDescent="0.45">
      <c r="A243" t="s">
        <v>33</v>
      </c>
      <c r="B243">
        <v>2019</v>
      </c>
      <c r="C243" t="s">
        <v>43</v>
      </c>
      <c r="D243">
        <v>153</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128.9</v>
      </c>
      <c r="W243">
        <v>138.69999999999999</v>
      </c>
      <c r="X243">
        <v>142.4</v>
      </c>
      <c r="Y243">
        <v>121.5</v>
      </c>
      <c r="Z243">
        <v>136.19999999999999</v>
      </c>
      <c r="AA243">
        <v>151.69999999999999</v>
      </c>
      <c r="AB243">
        <v>139.5</v>
      </c>
      <c r="AC243">
        <v>136</v>
      </c>
      <c r="AD243">
        <v>146</v>
      </c>
      <c r="AE243">
        <f t="shared" si="40"/>
        <v>151.9</v>
      </c>
      <c r="AF243">
        <f t="shared" si="39"/>
        <v>153</v>
      </c>
      <c r="AG243">
        <f t="shared" si="41"/>
        <v>151.69999999999999</v>
      </c>
      <c r="AH243">
        <f t="shared" si="42"/>
        <v>128.9</v>
      </c>
      <c r="AI243">
        <f t="shared" si="43"/>
        <v>142.4</v>
      </c>
      <c r="AJ243">
        <f t="shared" si="43"/>
        <v>121.5</v>
      </c>
      <c r="AK243">
        <f t="shared" si="44"/>
        <v>141.69999999999999</v>
      </c>
      <c r="AL243">
        <f t="shared" si="45"/>
        <v>136.19999999999999</v>
      </c>
      <c r="AM243">
        <f t="shared" si="46"/>
        <v>169.3</v>
      </c>
      <c r="AN243">
        <f t="shared" si="47"/>
        <v>137.35</v>
      </c>
      <c r="AO243">
        <f t="shared" si="48"/>
        <v>143.39499999999998</v>
      </c>
    </row>
    <row r="244" spans="1:41" x14ac:dyDescent="0.45">
      <c r="A244" t="s">
        <v>34</v>
      </c>
      <c r="B244">
        <v>2019</v>
      </c>
      <c r="C244" t="s">
        <v>43</v>
      </c>
      <c r="D244">
        <v>153</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140.6</v>
      </c>
      <c r="W244">
        <v>145</v>
      </c>
      <c r="X244">
        <v>149.4</v>
      </c>
      <c r="Y244">
        <v>126.3</v>
      </c>
      <c r="Z244">
        <v>141.69999999999999</v>
      </c>
      <c r="AA244">
        <v>155.4</v>
      </c>
      <c r="AB244">
        <v>140</v>
      </c>
      <c r="AC244">
        <v>141</v>
      </c>
      <c r="AD244">
        <v>147.19999999999999</v>
      </c>
      <c r="AE244">
        <f t="shared" si="40"/>
        <v>149.6</v>
      </c>
      <c r="AF244">
        <f t="shared" si="39"/>
        <v>153</v>
      </c>
      <c r="AG244">
        <f t="shared" si="41"/>
        <v>155.4</v>
      </c>
      <c r="AH244">
        <f t="shared" si="42"/>
        <v>140.6</v>
      </c>
      <c r="AI244">
        <f t="shared" si="43"/>
        <v>149.4</v>
      </c>
      <c r="AJ244">
        <f t="shared" si="43"/>
        <v>126.3</v>
      </c>
      <c r="AK244">
        <f t="shared" si="44"/>
        <v>144.1</v>
      </c>
      <c r="AL244">
        <f t="shared" si="45"/>
        <v>141.69999999999999</v>
      </c>
      <c r="AM244">
        <f t="shared" si="46"/>
        <v>167.1</v>
      </c>
      <c r="AN244">
        <f t="shared" si="47"/>
        <v>143</v>
      </c>
      <c r="AO244">
        <f t="shared" si="48"/>
        <v>147.01999999999998</v>
      </c>
    </row>
    <row r="245" spans="1:41" x14ac:dyDescent="0.45">
      <c r="A245" t="s">
        <v>30</v>
      </c>
      <c r="B245">
        <v>2019</v>
      </c>
      <c r="C245" t="s">
        <v>45</v>
      </c>
      <c r="D245" t="s">
        <v>32</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v>148.4</v>
      </c>
      <c r="W245">
        <v>150.9</v>
      </c>
      <c r="X245">
        <v>154.30000000000001</v>
      </c>
      <c r="Y245">
        <v>132.1</v>
      </c>
      <c r="Z245">
        <v>149.1</v>
      </c>
      <c r="AA245">
        <v>160.80000000000001</v>
      </c>
      <c r="AB245">
        <v>140.6</v>
      </c>
      <c r="AC245">
        <v>146.1</v>
      </c>
      <c r="AD245">
        <v>149.9</v>
      </c>
      <c r="AE245">
        <f t="shared" si="40"/>
        <v>150.9</v>
      </c>
      <c r="AF245" t="str">
        <f t="shared" si="39"/>
        <v>NA</v>
      </c>
      <c r="AG245">
        <f t="shared" si="41"/>
        <v>160.80000000000001</v>
      </c>
      <c r="AH245">
        <f t="shared" si="42"/>
        <v>148.4</v>
      </c>
      <c r="AI245">
        <f t="shared" si="43"/>
        <v>154.30000000000001</v>
      </c>
      <c r="AJ245">
        <f t="shared" si="43"/>
        <v>132.1</v>
      </c>
      <c r="AK245">
        <f t="shared" si="44"/>
        <v>146.05000000000001</v>
      </c>
      <c r="AL245">
        <f t="shared" si="45"/>
        <v>149.1</v>
      </c>
      <c r="AM245">
        <f t="shared" si="46"/>
        <v>167.2</v>
      </c>
      <c r="AN245">
        <f t="shared" si="47"/>
        <v>148.5</v>
      </c>
      <c r="AO245">
        <f t="shared" si="48"/>
        <v>150.81666666666669</v>
      </c>
    </row>
    <row r="246" spans="1:41" x14ac:dyDescent="0.45">
      <c r="A246" t="s">
        <v>33</v>
      </c>
      <c r="B246">
        <v>2019</v>
      </c>
      <c r="C246" t="s">
        <v>45</v>
      </c>
      <c r="D246">
        <v>153.5</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132.19999999999999</v>
      </c>
      <c r="W246">
        <v>139.1</v>
      </c>
      <c r="X246">
        <v>142.80000000000001</v>
      </c>
      <c r="Y246">
        <v>121.7</v>
      </c>
      <c r="Z246">
        <v>136.69999999999999</v>
      </c>
      <c r="AA246">
        <v>151.80000000000001</v>
      </c>
      <c r="AB246">
        <v>139.80000000000001</v>
      </c>
      <c r="AC246">
        <v>136.30000000000001</v>
      </c>
      <c r="AD246">
        <v>147</v>
      </c>
      <c r="AE246">
        <f t="shared" si="40"/>
        <v>153.6</v>
      </c>
      <c r="AF246">
        <f t="shared" si="39"/>
        <v>153.5</v>
      </c>
      <c r="AG246">
        <f t="shared" si="41"/>
        <v>151.80000000000001</v>
      </c>
      <c r="AH246">
        <f t="shared" si="42"/>
        <v>132.19999999999999</v>
      </c>
      <c r="AI246">
        <f t="shared" si="43"/>
        <v>142.80000000000001</v>
      </c>
      <c r="AJ246">
        <f t="shared" si="43"/>
        <v>121.7</v>
      </c>
      <c r="AK246">
        <f t="shared" si="44"/>
        <v>142</v>
      </c>
      <c r="AL246">
        <f t="shared" si="45"/>
        <v>136.69999999999999</v>
      </c>
      <c r="AM246">
        <f t="shared" si="46"/>
        <v>169.9</v>
      </c>
      <c r="AN246">
        <f t="shared" si="47"/>
        <v>137.69999999999999</v>
      </c>
      <c r="AO246">
        <f t="shared" si="48"/>
        <v>144.19000000000003</v>
      </c>
    </row>
    <row r="247" spans="1:41" x14ac:dyDescent="0.45">
      <c r="A247" t="s">
        <v>34</v>
      </c>
      <c r="B247">
        <v>2019</v>
      </c>
      <c r="C247" t="s">
        <v>45</v>
      </c>
      <c r="D247">
        <v>153.5</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142.30000000000001</v>
      </c>
      <c r="W247">
        <v>145.30000000000001</v>
      </c>
      <c r="X247">
        <v>149.9</v>
      </c>
      <c r="Y247">
        <v>126.6</v>
      </c>
      <c r="Z247">
        <v>142.1</v>
      </c>
      <c r="AA247">
        <v>155.5</v>
      </c>
      <c r="AB247">
        <v>140.30000000000001</v>
      </c>
      <c r="AC247">
        <v>141.30000000000001</v>
      </c>
      <c r="AD247">
        <v>148.6</v>
      </c>
      <c r="AE247">
        <f t="shared" si="40"/>
        <v>151.9</v>
      </c>
      <c r="AF247">
        <f t="shared" si="39"/>
        <v>153.5</v>
      </c>
      <c r="AG247">
        <f t="shared" si="41"/>
        <v>155.5</v>
      </c>
      <c r="AH247">
        <f t="shared" si="42"/>
        <v>142.30000000000001</v>
      </c>
      <c r="AI247">
        <f t="shared" si="43"/>
        <v>149.9</v>
      </c>
      <c r="AJ247">
        <f t="shared" si="43"/>
        <v>126.6</v>
      </c>
      <c r="AK247">
        <f t="shared" si="44"/>
        <v>144.44999999999999</v>
      </c>
      <c r="AL247">
        <f t="shared" si="45"/>
        <v>142.1</v>
      </c>
      <c r="AM247">
        <f t="shared" si="46"/>
        <v>167.9</v>
      </c>
      <c r="AN247">
        <f t="shared" si="47"/>
        <v>143.30000000000001</v>
      </c>
      <c r="AO247">
        <f t="shared" si="48"/>
        <v>147.745</v>
      </c>
    </row>
    <row r="248" spans="1:41" x14ac:dyDescent="0.45">
      <c r="A248" t="s">
        <v>30</v>
      </c>
      <c r="B248">
        <v>2019</v>
      </c>
      <c r="C248" t="s">
        <v>46</v>
      </c>
      <c r="D248" t="s">
        <v>32</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v>149.9</v>
      </c>
      <c r="W248">
        <v>151.19999999999999</v>
      </c>
      <c r="X248">
        <v>154.80000000000001</v>
      </c>
      <c r="Y248">
        <v>135</v>
      </c>
      <c r="Z248">
        <v>149.5</v>
      </c>
      <c r="AA248">
        <v>161.1</v>
      </c>
      <c r="AB248">
        <v>140.6</v>
      </c>
      <c r="AC248">
        <v>147.1</v>
      </c>
      <c r="AD248">
        <v>152.30000000000001</v>
      </c>
      <c r="AE248">
        <f t="shared" si="40"/>
        <v>154.30000000000001</v>
      </c>
      <c r="AF248" t="str">
        <f t="shared" si="39"/>
        <v>NA</v>
      </c>
      <c r="AG248">
        <f t="shared" si="41"/>
        <v>161.1</v>
      </c>
      <c r="AH248">
        <f t="shared" si="42"/>
        <v>149.9</v>
      </c>
      <c r="AI248">
        <f t="shared" si="43"/>
        <v>154.80000000000001</v>
      </c>
      <c r="AJ248">
        <f t="shared" si="43"/>
        <v>135</v>
      </c>
      <c r="AK248">
        <f t="shared" si="44"/>
        <v>146.25</v>
      </c>
      <c r="AL248">
        <f t="shared" si="45"/>
        <v>149.5</v>
      </c>
      <c r="AM248">
        <f t="shared" si="46"/>
        <v>167.8</v>
      </c>
      <c r="AN248">
        <f t="shared" si="47"/>
        <v>149.14999999999998</v>
      </c>
      <c r="AO248">
        <f t="shared" si="48"/>
        <v>151.97777777777776</v>
      </c>
    </row>
    <row r="249" spans="1:41" x14ac:dyDescent="0.45">
      <c r="A249" t="s">
        <v>33</v>
      </c>
      <c r="B249">
        <v>2019</v>
      </c>
      <c r="C249" t="s">
        <v>46</v>
      </c>
      <c r="D249">
        <v>152.80000000000001</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133.6</v>
      </c>
      <c r="W249">
        <v>139.80000000000001</v>
      </c>
      <c r="X249">
        <v>143.19999999999999</v>
      </c>
      <c r="Y249">
        <v>125.2</v>
      </c>
      <c r="Z249">
        <v>136.80000000000001</v>
      </c>
      <c r="AA249">
        <v>151.9</v>
      </c>
      <c r="AB249">
        <v>140.19999999999999</v>
      </c>
      <c r="AC249">
        <v>137.69999999999999</v>
      </c>
      <c r="AD249">
        <v>148.30000000000001</v>
      </c>
      <c r="AE249">
        <f t="shared" si="40"/>
        <v>156.30000000000001</v>
      </c>
      <c r="AF249">
        <f t="shared" si="39"/>
        <v>152.80000000000001</v>
      </c>
      <c r="AG249">
        <f t="shared" si="41"/>
        <v>151.9</v>
      </c>
      <c r="AH249">
        <f t="shared" si="42"/>
        <v>133.6</v>
      </c>
      <c r="AI249">
        <f t="shared" si="43"/>
        <v>143.19999999999999</v>
      </c>
      <c r="AJ249">
        <f t="shared" si="43"/>
        <v>125.2</v>
      </c>
      <c r="AK249">
        <f t="shared" si="44"/>
        <v>142.39999999999998</v>
      </c>
      <c r="AL249">
        <f t="shared" si="45"/>
        <v>136.80000000000001</v>
      </c>
      <c r="AM249">
        <f t="shared" si="46"/>
        <v>170.4</v>
      </c>
      <c r="AN249">
        <f t="shared" si="47"/>
        <v>138.75</v>
      </c>
      <c r="AO249">
        <f t="shared" si="48"/>
        <v>145.13500000000002</v>
      </c>
    </row>
    <row r="250" spans="1:41" x14ac:dyDescent="0.45">
      <c r="A250" t="s">
        <v>34</v>
      </c>
      <c r="B250">
        <v>2019</v>
      </c>
      <c r="C250" t="s">
        <v>46</v>
      </c>
      <c r="D250">
        <v>152.80000000000001</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143.69999999999999</v>
      </c>
      <c r="W250">
        <v>145.80000000000001</v>
      </c>
      <c r="X250">
        <v>150.4</v>
      </c>
      <c r="Y250">
        <v>129.80000000000001</v>
      </c>
      <c r="Z250">
        <v>142.30000000000001</v>
      </c>
      <c r="AA250">
        <v>155.69999999999999</v>
      </c>
      <c r="AB250">
        <v>140.4</v>
      </c>
      <c r="AC250">
        <v>142.5</v>
      </c>
      <c r="AD250">
        <v>150.4</v>
      </c>
      <c r="AE250">
        <f t="shared" si="40"/>
        <v>155</v>
      </c>
      <c r="AF250">
        <f t="shared" si="39"/>
        <v>152.80000000000001</v>
      </c>
      <c r="AG250">
        <f t="shared" si="41"/>
        <v>155.69999999999999</v>
      </c>
      <c r="AH250">
        <f t="shared" si="42"/>
        <v>143.69999999999999</v>
      </c>
      <c r="AI250">
        <f t="shared" si="43"/>
        <v>150.4</v>
      </c>
      <c r="AJ250">
        <f t="shared" si="43"/>
        <v>129.80000000000001</v>
      </c>
      <c r="AK250">
        <f t="shared" si="44"/>
        <v>144.69999999999999</v>
      </c>
      <c r="AL250">
        <f t="shared" si="45"/>
        <v>142.30000000000001</v>
      </c>
      <c r="AM250">
        <f t="shared" si="46"/>
        <v>168.5</v>
      </c>
      <c r="AN250">
        <f t="shared" si="47"/>
        <v>144.15</v>
      </c>
      <c r="AO250">
        <f t="shared" si="48"/>
        <v>148.70500000000001</v>
      </c>
    </row>
    <row r="251" spans="1:41" x14ac:dyDescent="0.45">
      <c r="A251" t="s">
        <v>30</v>
      </c>
      <c r="B251">
        <v>2020</v>
      </c>
      <c r="C251" t="s">
        <v>31</v>
      </c>
      <c r="D251" t="s">
        <v>32</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v>150.4</v>
      </c>
      <c r="W251">
        <v>151.69999999999999</v>
      </c>
      <c r="X251">
        <v>155.69999999999999</v>
      </c>
      <c r="Y251">
        <v>136.30000000000001</v>
      </c>
      <c r="Z251">
        <v>150.1</v>
      </c>
      <c r="AA251">
        <v>161.69999999999999</v>
      </c>
      <c r="AB251">
        <v>142.5</v>
      </c>
      <c r="AC251">
        <v>148.1</v>
      </c>
      <c r="AD251">
        <v>151.9</v>
      </c>
      <c r="AE251">
        <f t="shared" si="40"/>
        <v>153</v>
      </c>
      <c r="AF251" t="str">
        <f t="shared" si="39"/>
        <v>NA</v>
      </c>
      <c r="AG251">
        <f t="shared" si="41"/>
        <v>161.69999999999999</v>
      </c>
      <c r="AH251">
        <f t="shared" si="42"/>
        <v>150.4</v>
      </c>
      <c r="AI251">
        <f t="shared" si="43"/>
        <v>155.69999999999999</v>
      </c>
      <c r="AJ251">
        <f t="shared" si="43"/>
        <v>136.30000000000001</v>
      </c>
      <c r="AK251">
        <f t="shared" si="44"/>
        <v>147.30000000000001</v>
      </c>
      <c r="AL251">
        <f t="shared" si="45"/>
        <v>150.1</v>
      </c>
      <c r="AM251">
        <f t="shared" si="46"/>
        <v>168.6</v>
      </c>
      <c r="AN251">
        <f t="shared" si="47"/>
        <v>149.89999999999998</v>
      </c>
      <c r="AO251">
        <f t="shared" si="48"/>
        <v>152.55555555555551</v>
      </c>
    </row>
    <row r="252" spans="1:41" x14ac:dyDescent="0.45">
      <c r="A252" t="s">
        <v>33</v>
      </c>
      <c r="B252">
        <v>2020</v>
      </c>
      <c r="C252" t="s">
        <v>31</v>
      </c>
      <c r="D252">
        <v>153.9</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135.1</v>
      </c>
      <c r="W252">
        <v>140.1</v>
      </c>
      <c r="X252">
        <v>143.80000000000001</v>
      </c>
      <c r="Y252">
        <v>126.1</v>
      </c>
      <c r="Z252">
        <v>137.19999999999999</v>
      </c>
      <c r="AA252">
        <v>152.1</v>
      </c>
      <c r="AB252">
        <v>142.1</v>
      </c>
      <c r="AC252">
        <v>138.4</v>
      </c>
      <c r="AD252">
        <v>148.19999999999999</v>
      </c>
      <c r="AE252">
        <f t="shared" si="40"/>
        <v>154.4</v>
      </c>
      <c r="AF252">
        <f t="shared" si="39"/>
        <v>153.9</v>
      </c>
      <c r="AG252">
        <f t="shared" si="41"/>
        <v>152.1</v>
      </c>
      <c r="AH252">
        <f t="shared" si="42"/>
        <v>135.1</v>
      </c>
      <c r="AI252">
        <f t="shared" si="43"/>
        <v>143.80000000000001</v>
      </c>
      <c r="AJ252">
        <f t="shared" si="43"/>
        <v>126.1</v>
      </c>
      <c r="AK252">
        <f t="shared" si="44"/>
        <v>143.5</v>
      </c>
      <c r="AL252">
        <f t="shared" si="45"/>
        <v>137.19999999999999</v>
      </c>
      <c r="AM252">
        <f t="shared" si="46"/>
        <v>170.8</v>
      </c>
      <c r="AN252">
        <f t="shared" si="47"/>
        <v>139.25</v>
      </c>
      <c r="AO252">
        <f t="shared" si="48"/>
        <v>145.61499999999998</v>
      </c>
    </row>
    <row r="253" spans="1:41" x14ac:dyDescent="0.45">
      <c r="A253" t="s">
        <v>34</v>
      </c>
      <c r="B253">
        <v>2020</v>
      </c>
      <c r="C253" t="s">
        <v>31</v>
      </c>
      <c r="D253">
        <v>153.9</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144.6</v>
      </c>
      <c r="W253">
        <v>146.19999999999999</v>
      </c>
      <c r="X253">
        <v>151.19999999999999</v>
      </c>
      <c r="Y253">
        <v>130.9</v>
      </c>
      <c r="Z253">
        <v>142.80000000000001</v>
      </c>
      <c r="AA253">
        <v>156.1</v>
      </c>
      <c r="AB253">
        <v>142.30000000000001</v>
      </c>
      <c r="AC253">
        <v>143.4</v>
      </c>
      <c r="AD253">
        <v>150.19999999999999</v>
      </c>
      <c r="AE253">
        <f t="shared" si="40"/>
        <v>153.5</v>
      </c>
      <c r="AF253">
        <f t="shared" si="39"/>
        <v>153.9</v>
      </c>
      <c r="AG253">
        <f t="shared" si="41"/>
        <v>156.1</v>
      </c>
      <c r="AH253">
        <f t="shared" si="42"/>
        <v>144.6</v>
      </c>
      <c r="AI253">
        <f t="shared" si="43"/>
        <v>151.19999999999999</v>
      </c>
      <c r="AJ253">
        <f t="shared" si="43"/>
        <v>130.9</v>
      </c>
      <c r="AK253">
        <f t="shared" si="44"/>
        <v>145.75</v>
      </c>
      <c r="AL253">
        <f t="shared" si="45"/>
        <v>142.80000000000001</v>
      </c>
      <c r="AM253">
        <f t="shared" si="46"/>
        <v>169.2</v>
      </c>
      <c r="AN253">
        <f t="shared" si="47"/>
        <v>144.80000000000001</v>
      </c>
      <c r="AO253">
        <f t="shared" si="48"/>
        <v>149.27499999999998</v>
      </c>
    </row>
    <row r="254" spans="1:41" x14ac:dyDescent="0.45">
      <c r="A254" t="s">
        <v>30</v>
      </c>
      <c r="B254">
        <v>2020</v>
      </c>
      <c r="C254" t="s">
        <v>35</v>
      </c>
      <c r="D254" t="s">
        <v>32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v>152.30000000000001</v>
      </c>
      <c r="W254">
        <v>151.80000000000001</v>
      </c>
      <c r="X254">
        <v>156.19999999999999</v>
      </c>
      <c r="Y254">
        <v>136</v>
      </c>
      <c r="Z254">
        <v>150.4</v>
      </c>
      <c r="AA254">
        <v>161.9</v>
      </c>
      <c r="AB254">
        <v>143.4</v>
      </c>
      <c r="AC254">
        <v>148.4</v>
      </c>
      <c r="AD254">
        <v>150.4</v>
      </c>
      <c r="AE254">
        <f t="shared" si="40"/>
        <v>149.80000000000001</v>
      </c>
      <c r="AF254" t="str">
        <f t="shared" si="39"/>
        <v>NA</v>
      </c>
      <c r="AG254">
        <f t="shared" si="41"/>
        <v>161.9</v>
      </c>
      <c r="AH254">
        <f t="shared" si="42"/>
        <v>152.30000000000001</v>
      </c>
      <c r="AI254">
        <f t="shared" si="43"/>
        <v>156.19999999999999</v>
      </c>
      <c r="AJ254">
        <f t="shared" si="43"/>
        <v>136</v>
      </c>
      <c r="AK254">
        <f t="shared" si="44"/>
        <v>147.85000000000002</v>
      </c>
      <c r="AL254">
        <f t="shared" si="45"/>
        <v>150.4</v>
      </c>
      <c r="AM254">
        <f t="shared" si="46"/>
        <v>169.4</v>
      </c>
      <c r="AN254">
        <f t="shared" si="47"/>
        <v>150.10000000000002</v>
      </c>
      <c r="AO254">
        <f t="shared" si="48"/>
        <v>152.66111111111115</v>
      </c>
    </row>
    <row r="255" spans="1:41" x14ac:dyDescent="0.45">
      <c r="A255" t="s">
        <v>33</v>
      </c>
      <c r="B255">
        <v>2020</v>
      </c>
      <c r="C255" t="s">
        <v>35</v>
      </c>
      <c r="D255">
        <v>154.80000000000001</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138.9</v>
      </c>
      <c r="W255">
        <v>140.4</v>
      </c>
      <c r="X255">
        <v>144.4</v>
      </c>
      <c r="Y255">
        <v>125.2</v>
      </c>
      <c r="Z255">
        <v>137.69999999999999</v>
      </c>
      <c r="AA255">
        <v>152.19999999999999</v>
      </c>
      <c r="AB255">
        <v>143.5</v>
      </c>
      <c r="AC255">
        <v>138.4</v>
      </c>
      <c r="AD255">
        <v>147.69999999999999</v>
      </c>
      <c r="AE255">
        <f t="shared" si="40"/>
        <v>151.69999999999999</v>
      </c>
      <c r="AF255">
        <f t="shared" si="39"/>
        <v>154.80000000000001</v>
      </c>
      <c r="AG255">
        <f t="shared" si="41"/>
        <v>152.19999999999999</v>
      </c>
      <c r="AH255">
        <f t="shared" si="42"/>
        <v>138.9</v>
      </c>
      <c r="AI255">
        <f t="shared" si="43"/>
        <v>144.4</v>
      </c>
      <c r="AJ255">
        <f t="shared" si="43"/>
        <v>125.2</v>
      </c>
      <c r="AK255">
        <f t="shared" si="44"/>
        <v>144.35</v>
      </c>
      <c r="AL255">
        <f t="shared" si="45"/>
        <v>137.69999999999999</v>
      </c>
      <c r="AM255">
        <f t="shared" si="46"/>
        <v>172</v>
      </c>
      <c r="AN255">
        <f t="shared" si="47"/>
        <v>139.4</v>
      </c>
      <c r="AO255">
        <f t="shared" si="48"/>
        <v>146.065</v>
      </c>
    </row>
    <row r="256" spans="1:41" x14ac:dyDescent="0.45">
      <c r="A256" t="s">
        <v>34</v>
      </c>
      <c r="B256">
        <v>2020</v>
      </c>
      <c r="C256" t="s">
        <v>35</v>
      </c>
      <c r="D256">
        <v>154.80000000000001</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147.19999999999999</v>
      </c>
      <c r="W256">
        <v>146.4</v>
      </c>
      <c r="X256">
        <v>151.69999999999999</v>
      </c>
      <c r="Y256">
        <v>130.30000000000001</v>
      </c>
      <c r="Z256">
        <v>143.19999999999999</v>
      </c>
      <c r="AA256">
        <v>156.19999999999999</v>
      </c>
      <c r="AB256">
        <v>143.4</v>
      </c>
      <c r="AC256">
        <v>143.6</v>
      </c>
      <c r="AD256">
        <v>149.1</v>
      </c>
      <c r="AE256">
        <f t="shared" si="40"/>
        <v>150.5</v>
      </c>
      <c r="AF256">
        <f t="shared" si="39"/>
        <v>154.80000000000001</v>
      </c>
      <c r="AG256">
        <f t="shared" si="41"/>
        <v>156.19999999999999</v>
      </c>
      <c r="AH256">
        <f t="shared" si="42"/>
        <v>147.19999999999999</v>
      </c>
      <c r="AI256">
        <f t="shared" si="43"/>
        <v>151.69999999999999</v>
      </c>
      <c r="AJ256">
        <f t="shared" si="43"/>
        <v>130.30000000000001</v>
      </c>
      <c r="AK256">
        <f t="shared" si="44"/>
        <v>146.44999999999999</v>
      </c>
      <c r="AL256">
        <f t="shared" si="45"/>
        <v>143.19999999999999</v>
      </c>
      <c r="AM256">
        <f t="shared" si="46"/>
        <v>170.1</v>
      </c>
      <c r="AN256">
        <f t="shared" si="47"/>
        <v>145</v>
      </c>
      <c r="AO256">
        <f t="shared" si="48"/>
        <v>149.54500000000002</v>
      </c>
    </row>
    <row r="257" spans="1:41" x14ac:dyDescent="0.45">
      <c r="A257" t="s">
        <v>30</v>
      </c>
      <c r="B257">
        <v>2020</v>
      </c>
      <c r="C257" t="s">
        <v>36</v>
      </c>
      <c r="D257" t="s">
        <v>32</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v>153.4</v>
      </c>
      <c r="W257">
        <v>151.5</v>
      </c>
      <c r="X257">
        <v>156.69999999999999</v>
      </c>
      <c r="Y257">
        <v>135.80000000000001</v>
      </c>
      <c r="Z257">
        <v>151.19999999999999</v>
      </c>
      <c r="AA257">
        <v>161.19999999999999</v>
      </c>
      <c r="AB257">
        <v>145.1</v>
      </c>
      <c r="AC257">
        <v>148.6</v>
      </c>
      <c r="AD257">
        <v>149.80000000000001</v>
      </c>
      <c r="AE257">
        <f t="shared" si="40"/>
        <v>148.19999999999999</v>
      </c>
      <c r="AF257" t="str">
        <f t="shared" si="39"/>
        <v>NA</v>
      </c>
      <c r="AG257">
        <f t="shared" si="41"/>
        <v>161.19999999999999</v>
      </c>
      <c r="AH257">
        <f t="shared" si="42"/>
        <v>153.4</v>
      </c>
      <c r="AI257">
        <f t="shared" si="43"/>
        <v>156.69999999999999</v>
      </c>
      <c r="AJ257">
        <f t="shared" si="43"/>
        <v>135.80000000000001</v>
      </c>
      <c r="AK257">
        <f t="shared" si="44"/>
        <v>148.80000000000001</v>
      </c>
      <c r="AL257">
        <f t="shared" si="45"/>
        <v>151.19999999999999</v>
      </c>
      <c r="AM257">
        <f t="shared" si="46"/>
        <v>170.5</v>
      </c>
      <c r="AN257">
        <f t="shared" si="47"/>
        <v>150.05000000000001</v>
      </c>
      <c r="AO257">
        <f t="shared" si="48"/>
        <v>152.87222222222221</v>
      </c>
    </row>
    <row r="258" spans="1:41" x14ac:dyDescent="0.45">
      <c r="A258" t="s">
        <v>33</v>
      </c>
      <c r="B258">
        <v>2020</v>
      </c>
      <c r="C258" t="s">
        <v>36</v>
      </c>
      <c r="D258">
        <v>154.5</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141.4</v>
      </c>
      <c r="W258">
        <v>140.80000000000001</v>
      </c>
      <c r="X258">
        <v>145</v>
      </c>
      <c r="Y258">
        <v>124.6</v>
      </c>
      <c r="Z258">
        <v>137.9</v>
      </c>
      <c r="AA258">
        <v>152.5</v>
      </c>
      <c r="AB258">
        <v>145.30000000000001</v>
      </c>
      <c r="AC258">
        <v>138.69999999999999</v>
      </c>
      <c r="AD258">
        <v>147.30000000000001</v>
      </c>
      <c r="AE258">
        <f t="shared" si="40"/>
        <v>150.1</v>
      </c>
      <c r="AF258">
        <f t="shared" ref="AF258:AF321" si="49">D258</f>
        <v>154.5</v>
      </c>
      <c r="AG258">
        <f t="shared" si="41"/>
        <v>152.5</v>
      </c>
      <c r="AH258">
        <f t="shared" si="42"/>
        <v>141.4</v>
      </c>
      <c r="AI258">
        <f t="shared" si="43"/>
        <v>145</v>
      </c>
      <c r="AJ258">
        <f t="shared" si="43"/>
        <v>124.6</v>
      </c>
      <c r="AK258">
        <f t="shared" si="44"/>
        <v>145.44999999999999</v>
      </c>
      <c r="AL258">
        <f t="shared" si="45"/>
        <v>137.9</v>
      </c>
      <c r="AM258">
        <f t="shared" si="46"/>
        <v>173.3</v>
      </c>
      <c r="AN258">
        <f t="shared" si="47"/>
        <v>139.75</v>
      </c>
      <c r="AO258">
        <f t="shared" si="48"/>
        <v>146.44999999999999</v>
      </c>
    </row>
    <row r="259" spans="1:41" x14ac:dyDescent="0.45">
      <c r="A259" t="s">
        <v>34</v>
      </c>
      <c r="B259">
        <v>2020</v>
      </c>
      <c r="C259" t="s">
        <v>36</v>
      </c>
      <c r="D259">
        <v>154.5</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148.9</v>
      </c>
      <c r="W259">
        <v>146.4</v>
      </c>
      <c r="X259">
        <v>152.30000000000001</v>
      </c>
      <c r="Y259">
        <v>129.9</v>
      </c>
      <c r="Z259">
        <v>143.69999999999999</v>
      </c>
      <c r="AA259">
        <v>156.1</v>
      </c>
      <c r="AB259">
        <v>145.19999999999999</v>
      </c>
      <c r="AC259">
        <v>143.80000000000001</v>
      </c>
      <c r="AD259">
        <v>148.6</v>
      </c>
      <c r="AE259">
        <f t="shared" ref="AE259:AE322" si="50">Q259</f>
        <v>148.9</v>
      </c>
      <c r="AF259">
        <f t="shared" si="49"/>
        <v>154.5</v>
      </c>
      <c r="AG259">
        <f t="shared" ref="AG259:AG322" si="51">AA259</f>
        <v>156.1</v>
      </c>
      <c r="AH259">
        <f t="shared" ref="AH259:AH322" si="52">V259</f>
        <v>148.9</v>
      </c>
      <c r="AI259">
        <f t="shared" ref="AI259:AJ322" si="53">X259</f>
        <v>152.30000000000001</v>
      </c>
      <c r="AJ259">
        <f t="shared" si="53"/>
        <v>129.9</v>
      </c>
      <c r="AK259">
        <f t="shared" ref="AK259:AK322" si="54">AVERAGE(U259,AB259)</f>
        <v>147.5</v>
      </c>
      <c r="AL259">
        <f t="shared" ref="AL259:AL322" si="55">Z259</f>
        <v>143.69999999999999</v>
      </c>
      <c r="AM259">
        <f t="shared" ref="AM259:AM322" si="56">R259</f>
        <v>171.2</v>
      </c>
      <c r="AN259">
        <f t="shared" ref="AN259:AN322" si="57">AVERAGE(W259,AC259)</f>
        <v>145.10000000000002</v>
      </c>
      <c r="AO259">
        <f t="shared" ref="AO259:AO322" si="58">AVERAGE(AE259:AN259)</f>
        <v>149.81</v>
      </c>
    </row>
    <row r="260" spans="1:41" x14ac:dyDescent="0.45">
      <c r="A260" t="s">
        <v>30</v>
      </c>
      <c r="B260">
        <v>2020</v>
      </c>
      <c r="C260" t="s">
        <v>37</v>
      </c>
      <c r="D260" t="s">
        <v>32</v>
      </c>
      <c r="E260">
        <v>147.19999999999999</v>
      </c>
      <c r="F260">
        <f>AVERAGE($F251,$F254,$F257)</f>
        <v>167.20000000000002</v>
      </c>
      <c r="G260">
        <v>146.9</v>
      </c>
      <c r="H260">
        <v>155.6</v>
      </c>
      <c r="I260">
        <v>137.1</v>
      </c>
      <c r="J260">
        <v>147.30000000000001</v>
      </c>
      <c r="K260">
        <v>162.69999999999999</v>
      </c>
      <c r="L260">
        <v>150.19999999999999</v>
      </c>
      <c r="M260">
        <v>119.8</v>
      </c>
      <c r="N260">
        <v>158.69999999999999</v>
      </c>
      <c r="O260">
        <v>139.19999999999999</v>
      </c>
      <c r="P260">
        <f>AVERAGE($P251,$P254,$P257)</f>
        <v>159.29999999999998</v>
      </c>
      <c r="Q260">
        <v>150.1</v>
      </c>
      <c r="R260">
        <f>AVERAGE($R251,$R254,$R257)</f>
        <v>169.5</v>
      </c>
      <c r="S260">
        <f>AVERAGE($S251,$S254,$S257)</f>
        <v>153.06666666666669</v>
      </c>
      <c r="T260">
        <f>AVERAGE($T251,$T254,$T257)</f>
        <v>147.5</v>
      </c>
      <c r="U260">
        <f>AVERAGE($U251,$U254,$U257)</f>
        <v>152.29999999999998</v>
      </c>
      <c r="V260">
        <v>148.4</v>
      </c>
      <c r="W260">
        <f>AVERAGE($W251,$W254,$W257)</f>
        <v>151.66666666666666</v>
      </c>
      <c r="X260">
        <v>154.30000000000001</v>
      </c>
      <c r="Y260">
        <f>AVERAGE($Y251,$Y254,Y$257)</f>
        <v>136.03333333333333</v>
      </c>
      <c r="Z260">
        <f>AVERAGE($Z251,$Z254,$Z257)</f>
        <v>150.56666666666666</v>
      </c>
      <c r="AA260">
        <f>AVERAGE($AA251,$AA254,$AA257)</f>
        <v>161.6</v>
      </c>
      <c r="AB260">
        <f>AVERAGE($AB251,$AB254,$AB257)</f>
        <v>143.66666666666666</v>
      </c>
      <c r="AC260">
        <f>AVERAGE($AC251,$AC254,$AC257)</f>
        <v>148.36666666666667</v>
      </c>
      <c r="AD260">
        <f>AVERAGE($AD251,$AD254,$AD257)</f>
        <v>150.70000000000002</v>
      </c>
      <c r="AE260">
        <f t="shared" si="50"/>
        <v>150.1</v>
      </c>
      <c r="AF260" t="str">
        <f t="shared" si="49"/>
        <v>NA</v>
      </c>
      <c r="AG260">
        <f t="shared" si="51"/>
        <v>161.6</v>
      </c>
      <c r="AH260">
        <f t="shared" si="52"/>
        <v>148.4</v>
      </c>
      <c r="AI260">
        <f t="shared" si="53"/>
        <v>154.30000000000001</v>
      </c>
      <c r="AJ260">
        <f t="shared" si="53"/>
        <v>136.03333333333333</v>
      </c>
      <c r="AK260">
        <f t="shared" si="54"/>
        <v>147.98333333333332</v>
      </c>
      <c r="AL260">
        <f t="shared" si="55"/>
        <v>150.56666666666666</v>
      </c>
      <c r="AM260">
        <f t="shared" si="56"/>
        <v>169.5</v>
      </c>
      <c r="AN260">
        <f t="shared" si="57"/>
        <v>150.01666666666665</v>
      </c>
      <c r="AO260">
        <f t="shared" si="58"/>
        <v>152.05555555555554</v>
      </c>
    </row>
    <row r="261" spans="1:41" x14ac:dyDescent="0.45">
      <c r="A261" t="s">
        <v>33</v>
      </c>
      <c r="B261">
        <v>2020</v>
      </c>
      <c r="C261" t="s">
        <v>37</v>
      </c>
      <c r="D261">
        <v>155.6</v>
      </c>
      <c r="E261">
        <v>151.80000000000001</v>
      </c>
      <c r="F261">
        <f>AVERAGE($F252,$F255,$F258)</f>
        <v>167.56666666666666</v>
      </c>
      <c r="G261">
        <v>151.9</v>
      </c>
      <c r="H261">
        <v>155.5</v>
      </c>
      <c r="I261">
        <v>131.6</v>
      </c>
      <c r="J261">
        <v>152.9</v>
      </c>
      <c r="K261">
        <v>180</v>
      </c>
      <c r="L261">
        <v>150.80000000000001</v>
      </c>
      <c r="M261">
        <v>121.2</v>
      </c>
      <c r="N261">
        <v>154</v>
      </c>
      <c r="O261">
        <v>133.5</v>
      </c>
      <c r="P261">
        <f t="shared" ref="P261:P265" si="59">AVERAGE($P252,$P255,$P258)</f>
        <v>158.86666666666667</v>
      </c>
      <c r="Q261">
        <v>153.5</v>
      </c>
      <c r="R261">
        <f t="shared" ref="R261:R265" si="60">AVERAGE($R252,$R255,$R258)</f>
        <v>172.03333333333333</v>
      </c>
      <c r="S261">
        <f t="shared" ref="S261:S265" si="61">AVERAGE($S252,$S255,$S258)</f>
        <v>147.33333333333334</v>
      </c>
      <c r="T261">
        <f t="shared" ref="T261:T265" si="62">AVERAGE($T252,$T255,$T258)</f>
        <v>133.5</v>
      </c>
      <c r="U261">
        <f t="shared" ref="U261:U265" si="63">AVERAGE($U252,$U255,$U258)</f>
        <v>145.23333333333335</v>
      </c>
      <c r="V261">
        <v>137.1</v>
      </c>
      <c r="W261">
        <f t="shared" ref="W261:W265" si="64">AVERAGE($W252,$W255,$W258)</f>
        <v>140.43333333333334</v>
      </c>
      <c r="X261">
        <v>144.80000000000001</v>
      </c>
      <c r="Y261">
        <f t="shared" ref="Y261:Y265" si="65">AVERAGE($Y252,$Y255,Y$257)</f>
        <v>129.03333333333333</v>
      </c>
      <c r="Z261">
        <f t="shared" ref="Z261:Z265" si="66">AVERAGE($Z252,$Z255,$Z258)</f>
        <v>137.6</v>
      </c>
      <c r="AA261">
        <f t="shared" ref="AA261:AA265" si="67">AVERAGE($AA252,$AA255,$AA258)</f>
        <v>152.26666666666665</v>
      </c>
      <c r="AB261">
        <f t="shared" ref="AB261:AB265" si="68">AVERAGE($AB252,$AB255,$AB258)</f>
        <v>143.63333333333335</v>
      </c>
      <c r="AC261">
        <f t="shared" ref="AC261:AC265" si="69">AVERAGE($AC252,$AC255,$AC258)</f>
        <v>138.5</v>
      </c>
      <c r="AD261">
        <f t="shared" ref="AD261:AD265" si="70">AVERAGE($AD252,$AD255,$AD258)</f>
        <v>147.73333333333332</v>
      </c>
      <c r="AE261">
        <f t="shared" si="50"/>
        <v>153.5</v>
      </c>
      <c r="AF261">
        <f t="shared" si="49"/>
        <v>155.6</v>
      </c>
      <c r="AG261">
        <f t="shared" si="51"/>
        <v>152.26666666666665</v>
      </c>
      <c r="AH261">
        <f t="shared" si="52"/>
        <v>137.1</v>
      </c>
      <c r="AI261">
        <f t="shared" si="53"/>
        <v>144.80000000000001</v>
      </c>
      <c r="AJ261">
        <f t="shared" si="53"/>
        <v>129.03333333333333</v>
      </c>
      <c r="AK261">
        <f t="shared" si="54"/>
        <v>144.43333333333334</v>
      </c>
      <c r="AL261">
        <f t="shared" si="55"/>
        <v>137.6</v>
      </c>
      <c r="AM261">
        <f t="shared" si="56"/>
        <v>172.03333333333333</v>
      </c>
      <c r="AN261">
        <f t="shared" si="57"/>
        <v>139.46666666666667</v>
      </c>
      <c r="AO261">
        <f t="shared" si="58"/>
        <v>146.58333333333331</v>
      </c>
    </row>
    <row r="262" spans="1:41" x14ac:dyDescent="0.45">
      <c r="A262" t="s">
        <v>34</v>
      </c>
      <c r="B262">
        <v>2020</v>
      </c>
      <c r="C262" t="s">
        <v>37</v>
      </c>
      <c r="D262">
        <v>155.6</v>
      </c>
      <c r="E262">
        <v>148.69999999999999</v>
      </c>
      <c r="F262">
        <f>AVERAGE($F253,$F256,$F259)</f>
        <v>167.29999999999998</v>
      </c>
      <c r="G262">
        <v>148.80000000000001</v>
      </c>
      <c r="H262">
        <v>155.6</v>
      </c>
      <c r="I262">
        <v>135.1</v>
      </c>
      <c r="J262">
        <v>149.9</v>
      </c>
      <c r="K262">
        <v>168.6</v>
      </c>
      <c r="L262">
        <v>150.4</v>
      </c>
      <c r="M262">
        <v>120.3</v>
      </c>
      <c r="N262">
        <v>157.1</v>
      </c>
      <c r="O262">
        <v>136.80000000000001</v>
      </c>
      <c r="P262">
        <f t="shared" si="59"/>
        <v>159.1</v>
      </c>
      <c r="Q262">
        <v>151.4</v>
      </c>
      <c r="R262">
        <f t="shared" si="60"/>
        <v>170.16666666666666</v>
      </c>
      <c r="S262">
        <f t="shared" si="61"/>
        <v>150.83333333333334</v>
      </c>
      <c r="T262">
        <f t="shared" si="62"/>
        <v>141.70000000000002</v>
      </c>
      <c r="U262">
        <f t="shared" si="63"/>
        <v>149.5</v>
      </c>
      <c r="V262">
        <v>144.1</v>
      </c>
      <c r="W262">
        <f t="shared" si="64"/>
        <v>146.33333333333334</v>
      </c>
      <c r="X262">
        <v>150.69999999999999</v>
      </c>
      <c r="Y262">
        <f t="shared" si="65"/>
        <v>132.33333333333334</v>
      </c>
      <c r="Z262">
        <f t="shared" si="66"/>
        <v>143.23333333333332</v>
      </c>
      <c r="AA262">
        <f t="shared" si="67"/>
        <v>156.13333333333333</v>
      </c>
      <c r="AB262">
        <f t="shared" si="68"/>
        <v>143.63333333333335</v>
      </c>
      <c r="AC262">
        <f t="shared" si="69"/>
        <v>143.6</v>
      </c>
      <c r="AD262">
        <f t="shared" si="70"/>
        <v>149.29999999999998</v>
      </c>
      <c r="AE262">
        <f t="shared" si="50"/>
        <v>151.4</v>
      </c>
      <c r="AF262">
        <f t="shared" si="49"/>
        <v>155.6</v>
      </c>
      <c r="AG262">
        <f t="shared" si="51"/>
        <v>156.13333333333333</v>
      </c>
      <c r="AH262">
        <f t="shared" si="52"/>
        <v>144.1</v>
      </c>
      <c r="AI262">
        <f t="shared" si="53"/>
        <v>150.69999999999999</v>
      </c>
      <c r="AJ262">
        <f t="shared" si="53"/>
        <v>132.33333333333334</v>
      </c>
      <c r="AK262">
        <f t="shared" si="54"/>
        <v>146.56666666666666</v>
      </c>
      <c r="AL262">
        <f t="shared" si="55"/>
        <v>143.23333333333332</v>
      </c>
      <c r="AM262">
        <f t="shared" si="56"/>
        <v>170.16666666666666</v>
      </c>
      <c r="AN262">
        <f t="shared" si="57"/>
        <v>144.96666666666667</v>
      </c>
      <c r="AO262">
        <f t="shared" si="58"/>
        <v>149.52000000000004</v>
      </c>
    </row>
    <row r="263" spans="1:41" x14ac:dyDescent="0.45">
      <c r="A263" t="s">
        <v>30</v>
      </c>
      <c r="B263">
        <v>2020</v>
      </c>
      <c r="C263" t="s">
        <v>38</v>
      </c>
      <c r="D263" t="s">
        <v>32</v>
      </c>
      <c r="E263">
        <f>AVERAGE(E254,E257,E260)</f>
        <v>145.26666666666668</v>
      </c>
      <c r="F263">
        <f>AVERAGE($F254,$F257,$F260)</f>
        <v>167.16666666666666</v>
      </c>
      <c r="G263">
        <f>AVERAGE($G254,$G257,$G260)</f>
        <v>148.46666666666667</v>
      </c>
      <c r="H263">
        <f>AVERAGE($H254,$H257,$H260)</f>
        <v>152.73333333333335</v>
      </c>
      <c r="I263">
        <f>AVERAGE($I254,$I257,$I260)</f>
        <v>134.70000000000002</v>
      </c>
      <c r="J263">
        <f>AVERAGE($J254,$J257,$J260)</f>
        <v>143.26666666666668</v>
      </c>
      <c r="K263">
        <f>AVERAGE($K254,$K257,$K260)</f>
        <v>160.03333333333333</v>
      </c>
      <c r="L263">
        <f>AVERAGE($L254,$L257,$L260)</f>
        <v>144.6</v>
      </c>
      <c r="M263">
        <f>AVERAGE($M254,$M257,$M260)</f>
        <v>115.16666666666667</v>
      </c>
      <c r="N263">
        <f>AVERAGE($N254,$N257,$N260)</f>
        <v>155.16666666666666</v>
      </c>
      <c r="O263">
        <f>AVERAGE($O254,$O257,$O260)</f>
        <v>139.79999999999998</v>
      </c>
      <c r="P263">
        <f t="shared" si="59"/>
        <v>159.5</v>
      </c>
      <c r="Q263">
        <f>AVERAGE($Q254,$Q257,$Q260)</f>
        <v>149.36666666666667</v>
      </c>
      <c r="R263">
        <f t="shared" si="60"/>
        <v>169.79999999999998</v>
      </c>
      <c r="S263">
        <f t="shared" si="61"/>
        <v>153.15555555555557</v>
      </c>
      <c r="T263">
        <f t="shared" si="62"/>
        <v>147.53333333333333</v>
      </c>
      <c r="U263">
        <f t="shared" si="63"/>
        <v>152.36666666666667</v>
      </c>
      <c r="V263">
        <f>AVERAGE($V254,$V257,$V260)</f>
        <v>151.36666666666667</v>
      </c>
      <c r="W263">
        <f t="shared" si="64"/>
        <v>151.65555555555557</v>
      </c>
      <c r="X263">
        <f>AVERAGE($X254,$X257,$X260)</f>
        <v>155.73333333333332</v>
      </c>
      <c r="Y263">
        <f t="shared" si="65"/>
        <v>135.86666666666667</v>
      </c>
      <c r="Z263">
        <f t="shared" si="66"/>
        <v>150.72222222222223</v>
      </c>
      <c r="AA263">
        <f t="shared" si="67"/>
        <v>161.56666666666669</v>
      </c>
      <c r="AB263">
        <f t="shared" si="68"/>
        <v>144.05555555555554</v>
      </c>
      <c r="AC263">
        <f t="shared" si="69"/>
        <v>148.45555555555555</v>
      </c>
      <c r="AD263">
        <f t="shared" si="70"/>
        <v>150.30000000000004</v>
      </c>
      <c r="AE263">
        <f t="shared" si="50"/>
        <v>149.36666666666667</v>
      </c>
      <c r="AF263" t="str">
        <f t="shared" si="49"/>
        <v>NA</v>
      </c>
      <c r="AG263">
        <f t="shared" si="51"/>
        <v>161.56666666666669</v>
      </c>
      <c r="AH263">
        <f t="shared" si="52"/>
        <v>151.36666666666667</v>
      </c>
      <c r="AI263">
        <f t="shared" si="53"/>
        <v>155.73333333333332</v>
      </c>
      <c r="AJ263">
        <f t="shared" si="53"/>
        <v>135.86666666666667</v>
      </c>
      <c r="AK263">
        <f t="shared" si="54"/>
        <v>148.21111111111111</v>
      </c>
      <c r="AL263">
        <f t="shared" si="55"/>
        <v>150.72222222222223</v>
      </c>
      <c r="AM263">
        <f t="shared" si="56"/>
        <v>169.79999999999998</v>
      </c>
      <c r="AN263">
        <f t="shared" si="57"/>
        <v>150.05555555555554</v>
      </c>
      <c r="AO263">
        <f t="shared" si="58"/>
        <v>152.52098765432098</v>
      </c>
    </row>
    <row r="264" spans="1:41" x14ac:dyDescent="0.45">
      <c r="A264" t="s">
        <v>33</v>
      </c>
      <c r="B264">
        <v>2020</v>
      </c>
      <c r="C264" t="s">
        <v>38</v>
      </c>
      <c r="D264">
        <f>AVERAGE(D255,D258,D261)</f>
        <v>154.96666666666667</v>
      </c>
      <c r="E264">
        <f>AVERAGE(E255,E258,E261)</f>
        <v>148.16666666666666</v>
      </c>
      <c r="F264">
        <f t="shared" ref="F264:F265" si="71">AVERAGE($F255,$F258,$F261)</f>
        <v>167.55555555555557</v>
      </c>
      <c r="G264">
        <f t="shared" ref="G264:G265" si="72">AVERAGE($G255,$G258,$G261)</f>
        <v>151.29999999999998</v>
      </c>
      <c r="H264">
        <f t="shared" ref="H264:H265" si="73">AVERAGE($H255,$H258,$H261)</f>
        <v>152.43333333333331</v>
      </c>
      <c r="I264">
        <f t="shared" ref="I264:I265" si="74">AVERAGE($I255,$I258,$I261)</f>
        <v>128.83333333333334</v>
      </c>
      <c r="J264">
        <f t="shared" ref="J264:J265" si="75">AVERAGE($J255,$J258,$J261)</f>
        <v>146.43333333333331</v>
      </c>
      <c r="K264">
        <f t="shared" ref="K264:K265" si="76">AVERAGE($K255,$K258,$K261)</f>
        <v>176.23333333333335</v>
      </c>
      <c r="L264">
        <f t="shared" ref="L264:L265" si="77">AVERAGE($L255,$L258,$L261)</f>
        <v>143.36666666666665</v>
      </c>
      <c r="M264">
        <f t="shared" ref="M264:M265" si="78">AVERAGE($M255,$M258,$M261)</f>
        <v>116.73333333333333</v>
      </c>
      <c r="N264">
        <f t="shared" ref="N264:N265" si="79">AVERAGE($N255,$N258,$N261)</f>
        <v>151.96666666666667</v>
      </c>
      <c r="O264">
        <f t="shared" ref="O264:O265" si="80">AVERAGE($O255,$O258,$O261)</f>
        <v>132.29999999999998</v>
      </c>
      <c r="P264">
        <f t="shared" si="59"/>
        <v>158.98888888888891</v>
      </c>
      <c r="Q264">
        <f t="shared" ref="Q264:Q265" si="81">AVERAGE($Q255,$Q258,$Q261)</f>
        <v>151.76666666666665</v>
      </c>
      <c r="R264">
        <f t="shared" si="60"/>
        <v>172.44444444444446</v>
      </c>
      <c r="S264">
        <f t="shared" si="61"/>
        <v>147.44444444444446</v>
      </c>
      <c r="T264">
        <f t="shared" si="62"/>
        <v>133.6</v>
      </c>
      <c r="U264">
        <f t="shared" si="63"/>
        <v>145.34444444444443</v>
      </c>
      <c r="V264">
        <f t="shared" ref="V264:V265" si="82">AVERAGE($V255,$V258,$V261)</f>
        <v>139.13333333333333</v>
      </c>
      <c r="W264">
        <f t="shared" si="64"/>
        <v>140.54444444444445</v>
      </c>
      <c r="X264">
        <f t="shared" ref="X264:X265" si="83">AVERAGE($X255,$X258,$X261)</f>
        <v>144.73333333333332</v>
      </c>
      <c r="Y264">
        <f t="shared" si="65"/>
        <v>128.53333333333333</v>
      </c>
      <c r="Z264">
        <f t="shared" si="66"/>
        <v>137.73333333333335</v>
      </c>
      <c r="AA264">
        <f t="shared" si="67"/>
        <v>152.32222222222222</v>
      </c>
      <c r="AB264">
        <f t="shared" si="68"/>
        <v>144.14444444444447</v>
      </c>
      <c r="AC264">
        <f t="shared" si="69"/>
        <v>138.53333333333333</v>
      </c>
      <c r="AD264">
        <f t="shared" si="70"/>
        <v>147.57777777777778</v>
      </c>
      <c r="AE264">
        <f t="shared" si="50"/>
        <v>151.76666666666665</v>
      </c>
      <c r="AF264">
        <f t="shared" si="49"/>
        <v>154.96666666666667</v>
      </c>
      <c r="AG264">
        <f t="shared" si="51"/>
        <v>152.32222222222222</v>
      </c>
      <c r="AH264">
        <f t="shared" si="52"/>
        <v>139.13333333333333</v>
      </c>
      <c r="AI264">
        <f t="shared" si="53"/>
        <v>144.73333333333332</v>
      </c>
      <c r="AJ264">
        <f t="shared" si="53"/>
        <v>128.53333333333333</v>
      </c>
      <c r="AK264">
        <f t="shared" si="54"/>
        <v>144.74444444444447</v>
      </c>
      <c r="AL264">
        <f t="shared" si="55"/>
        <v>137.73333333333335</v>
      </c>
      <c r="AM264">
        <f t="shared" si="56"/>
        <v>172.44444444444446</v>
      </c>
      <c r="AN264">
        <f t="shared" si="57"/>
        <v>139.53888888888889</v>
      </c>
      <c r="AO264">
        <f t="shared" si="58"/>
        <v>146.59166666666664</v>
      </c>
    </row>
    <row r="265" spans="1:41" x14ac:dyDescent="0.45">
      <c r="A265" t="s">
        <v>34</v>
      </c>
      <c r="B265">
        <v>2020</v>
      </c>
      <c r="C265" t="s">
        <v>38</v>
      </c>
      <c r="D265">
        <v>154.97</v>
      </c>
      <c r="E265">
        <f>AVERAGE(E256,E259,E262)</f>
        <v>146.19999999999999</v>
      </c>
      <c r="F265">
        <f t="shared" si="71"/>
        <v>167.26666666666665</v>
      </c>
      <c r="G265">
        <f t="shared" si="72"/>
        <v>149.56666666666666</v>
      </c>
      <c r="H265">
        <f t="shared" si="73"/>
        <v>152.63333333333333</v>
      </c>
      <c r="I265">
        <f t="shared" si="74"/>
        <v>132.56666666666669</v>
      </c>
      <c r="J265">
        <f t="shared" si="75"/>
        <v>144.73333333333335</v>
      </c>
      <c r="K265">
        <f t="shared" si="76"/>
        <v>165.53333333333333</v>
      </c>
      <c r="L265">
        <f t="shared" si="77"/>
        <v>144.20000000000002</v>
      </c>
      <c r="M265">
        <f t="shared" si="78"/>
        <v>115.7</v>
      </c>
      <c r="N265">
        <f t="shared" si="79"/>
        <v>154.1</v>
      </c>
      <c r="O265">
        <f t="shared" si="80"/>
        <v>136.66666666666666</v>
      </c>
      <c r="P265">
        <f t="shared" si="59"/>
        <v>159.26666666666665</v>
      </c>
      <c r="Q265">
        <f t="shared" si="81"/>
        <v>150.26666666666665</v>
      </c>
      <c r="R265">
        <f t="shared" si="60"/>
        <v>170.48888888888885</v>
      </c>
      <c r="S265">
        <f t="shared" si="61"/>
        <v>150.94444444444446</v>
      </c>
      <c r="T265">
        <f t="shared" si="62"/>
        <v>141.76666666666668</v>
      </c>
      <c r="U265">
        <f t="shared" si="63"/>
        <v>149.6</v>
      </c>
      <c r="V265">
        <f t="shared" si="82"/>
        <v>146.73333333333335</v>
      </c>
      <c r="W265">
        <f t="shared" si="64"/>
        <v>146.37777777777777</v>
      </c>
      <c r="X265">
        <f t="shared" si="83"/>
        <v>151.56666666666666</v>
      </c>
      <c r="Y265">
        <f t="shared" si="65"/>
        <v>132.00000000000003</v>
      </c>
      <c r="Z265">
        <f t="shared" si="66"/>
        <v>143.37777777777777</v>
      </c>
      <c r="AA265">
        <f t="shared" si="67"/>
        <v>156.14444444444442</v>
      </c>
      <c r="AB265">
        <f t="shared" si="68"/>
        <v>144.07777777777778</v>
      </c>
      <c r="AC265">
        <f t="shared" si="69"/>
        <v>143.66666666666666</v>
      </c>
      <c r="AD265">
        <f t="shared" si="70"/>
        <v>149</v>
      </c>
      <c r="AE265">
        <f t="shared" si="50"/>
        <v>150.26666666666665</v>
      </c>
      <c r="AF265">
        <f t="shared" si="49"/>
        <v>154.97</v>
      </c>
      <c r="AG265">
        <f t="shared" si="51"/>
        <v>156.14444444444442</v>
      </c>
      <c r="AH265">
        <f t="shared" si="52"/>
        <v>146.73333333333335</v>
      </c>
      <c r="AI265">
        <f t="shared" si="53"/>
        <v>151.56666666666666</v>
      </c>
      <c r="AJ265">
        <f t="shared" si="53"/>
        <v>132.00000000000003</v>
      </c>
      <c r="AK265">
        <f t="shared" si="54"/>
        <v>146.8388888888889</v>
      </c>
      <c r="AL265">
        <f t="shared" si="55"/>
        <v>143.37777777777777</v>
      </c>
      <c r="AM265">
        <f t="shared" si="56"/>
        <v>170.48888888888885</v>
      </c>
      <c r="AN265">
        <f t="shared" si="57"/>
        <v>145.02222222222221</v>
      </c>
      <c r="AO265">
        <f t="shared" si="58"/>
        <v>149.74088888888886</v>
      </c>
    </row>
    <row r="266" spans="1:41" x14ac:dyDescent="0.45">
      <c r="A266" t="s">
        <v>30</v>
      </c>
      <c r="B266">
        <v>2020</v>
      </c>
      <c r="C266" t="s">
        <v>39</v>
      </c>
      <c r="D266" t="s">
        <v>32</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v>144.9</v>
      </c>
      <c r="W266">
        <v>151.69999999999999</v>
      </c>
      <c r="X266">
        <v>158.19999999999999</v>
      </c>
      <c r="Y266">
        <v>141.4</v>
      </c>
      <c r="Z266">
        <v>153.19999999999999</v>
      </c>
      <c r="AA266">
        <v>161.80000000000001</v>
      </c>
      <c r="AB266">
        <v>151.19999999999999</v>
      </c>
      <c r="AC266">
        <v>151.69999999999999</v>
      </c>
      <c r="AD266">
        <v>152.69999999999999</v>
      </c>
      <c r="AE266">
        <f t="shared" si="50"/>
        <v>152.30000000000001</v>
      </c>
      <c r="AF266" t="str">
        <f t="shared" si="49"/>
        <v>NA</v>
      </c>
      <c r="AG266">
        <f t="shared" si="51"/>
        <v>161.80000000000001</v>
      </c>
      <c r="AH266">
        <f t="shared" si="52"/>
        <v>144.9</v>
      </c>
      <c r="AI266">
        <f t="shared" si="53"/>
        <v>158.19999999999999</v>
      </c>
      <c r="AJ266">
        <f t="shared" si="53"/>
        <v>141.4</v>
      </c>
      <c r="AK266">
        <f t="shared" si="54"/>
        <v>152.64999999999998</v>
      </c>
      <c r="AL266">
        <f t="shared" si="55"/>
        <v>153.19999999999999</v>
      </c>
      <c r="AM266">
        <f t="shared" si="56"/>
        <v>182.4</v>
      </c>
      <c r="AN266">
        <f t="shared" si="57"/>
        <v>151.69999999999999</v>
      </c>
      <c r="AO266">
        <f t="shared" si="58"/>
        <v>155.39444444444447</v>
      </c>
    </row>
    <row r="267" spans="1:41" x14ac:dyDescent="0.45">
      <c r="A267" t="s">
        <v>33</v>
      </c>
      <c r="B267">
        <v>2020</v>
      </c>
      <c r="C267" t="s">
        <v>39</v>
      </c>
      <c r="D267">
        <v>154.69999999999999</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137.1</v>
      </c>
      <c r="W267">
        <v>140.4</v>
      </c>
      <c r="X267">
        <v>148.1</v>
      </c>
      <c r="Y267">
        <v>129.30000000000001</v>
      </c>
      <c r="Z267">
        <v>144.5</v>
      </c>
      <c r="AA267">
        <v>152.5</v>
      </c>
      <c r="AB267">
        <v>152.19999999999999</v>
      </c>
      <c r="AC267">
        <v>142</v>
      </c>
      <c r="AD267">
        <v>150.80000000000001</v>
      </c>
      <c r="AE267">
        <f t="shared" si="50"/>
        <v>157</v>
      </c>
      <c r="AF267">
        <f t="shared" si="49"/>
        <v>154.69999999999999</v>
      </c>
      <c r="AG267">
        <f t="shared" si="51"/>
        <v>152.5</v>
      </c>
      <c r="AH267">
        <f t="shared" si="52"/>
        <v>137.1</v>
      </c>
      <c r="AI267">
        <f t="shared" si="53"/>
        <v>148.1</v>
      </c>
      <c r="AJ267">
        <f t="shared" si="53"/>
        <v>129.30000000000001</v>
      </c>
      <c r="AK267">
        <f t="shared" si="54"/>
        <v>149.69999999999999</v>
      </c>
      <c r="AL267">
        <f t="shared" si="55"/>
        <v>144.5</v>
      </c>
      <c r="AM267">
        <f t="shared" si="56"/>
        <v>186.7</v>
      </c>
      <c r="AN267">
        <f t="shared" si="57"/>
        <v>141.19999999999999</v>
      </c>
      <c r="AO267">
        <f t="shared" si="58"/>
        <v>150.08000000000001</v>
      </c>
    </row>
    <row r="268" spans="1:41" x14ac:dyDescent="0.45">
      <c r="A268" t="s">
        <v>34</v>
      </c>
      <c r="B268">
        <v>2020</v>
      </c>
      <c r="C268" t="s">
        <v>39</v>
      </c>
      <c r="D268">
        <v>154.69999999999999</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141.9</v>
      </c>
      <c r="W268">
        <v>146.4</v>
      </c>
      <c r="X268">
        <v>154.4</v>
      </c>
      <c r="Y268">
        <v>135</v>
      </c>
      <c r="Z268">
        <v>148.30000000000001</v>
      </c>
      <c r="AA268">
        <v>156.4</v>
      </c>
      <c r="AB268">
        <v>151.6</v>
      </c>
      <c r="AC268">
        <v>147</v>
      </c>
      <c r="AD268">
        <v>151.80000000000001</v>
      </c>
      <c r="AE268">
        <f t="shared" si="50"/>
        <v>154</v>
      </c>
      <c r="AF268">
        <f t="shared" si="49"/>
        <v>154.69999999999999</v>
      </c>
      <c r="AG268">
        <f t="shared" si="51"/>
        <v>156.4</v>
      </c>
      <c r="AH268">
        <f t="shared" si="52"/>
        <v>141.9</v>
      </c>
      <c r="AI268">
        <f t="shared" si="53"/>
        <v>154.4</v>
      </c>
      <c r="AJ268">
        <f t="shared" si="53"/>
        <v>135</v>
      </c>
      <c r="AK268">
        <f t="shared" si="54"/>
        <v>151.5</v>
      </c>
      <c r="AL268">
        <f t="shared" si="55"/>
        <v>148.30000000000001</v>
      </c>
      <c r="AM268">
        <f t="shared" si="56"/>
        <v>183.5</v>
      </c>
      <c r="AN268">
        <f t="shared" si="57"/>
        <v>146.69999999999999</v>
      </c>
      <c r="AO268">
        <f t="shared" si="58"/>
        <v>152.64000000000001</v>
      </c>
    </row>
    <row r="269" spans="1:41" x14ac:dyDescent="0.45">
      <c r="A269" t="s">
        <v>30</v>
      </c>
      <c r="B269">
        <v>2020</v>
      </c>
      <c r="C269" t="s">
        <v>40</v>
      </c>
      <c r="D269" t="s">
        <v>32</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v>144.9</v>
      </c>
      <c r="W269">
        <v>151.69999999999999</v>
      </c>
      <c r="X269">
        <v>158.19999999999999</v>
      </c>
      <c r="Y269">
        <v>141.4</v>
      </c>
      <c r="Z269">
        <v>153.19999999999999</v>
      </c>
      <c r="AA269">
        <v>161.80000000000001</v>
      </c>
      <c r="AB269">
        <v>151.19999999999999</v>
      </c>
      <c r="AC269">
        <v>151.69999999999999</v>
      </c>
      <c r="AD269">
        <v>152.69999999999999</v>
      </c>
      <c r="AE269">
        <f t="shared" si="50"/>
        <v>152.30000000000001</v>
      </c>
      <c r="AF269" t="str">
        <f t="shared" si="49"/>
        <v>NA</v>
      </c>
      <c r="AG269">
        <f t="shared" si="51"/>
        <v>161.80000000000001</v>
      </c>
      <c r="AH269">
        <f t="shared" si="52"/>
        <v>144.9</v>
      </c>
      <c r="AI269">
        <f t="shared" si="53"/>
        <v>158.19999999999999</v>
      </c>
      <c r="AJ269">
        <f t="shared" si="53"/>
        <v>141.4</v>
      </c>
      <c r="AK269">
        <f t="shared" si="54"/>
        <v>152.64999999999998</v>
      </c>
      <c r="AL269">
        <f t="shared" si="55"/>
        <v>153.19999999999999</v>
      </c>
      <c r="AM269">
        <f t="shared" si="56"/>
        <v>182.4</v>
      </c>
      <c r="AN269">
        <f t="shared" si="57"/>
        <v>151.69999999999999</v>
      </c>
      <c r="AO269">
        <f t="shared" si="58"/>
        <v>155.39444444444447</v>
      </c>
    </row>
    <row r="270" spans="1:41" x14ac:dyDescent="0.45">
      <c r="A270" t="s">
        <v>33</v>
      </c>
      <c r="B270">
        <v>2020</v>
      </c>
      <c r="C270" t="s">
        <v>40</v>
      </c>
      <c r="D270">
        <v>154.69999999999999</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137.1</v>
      </c>
      <c r="W270">
        <v>140.4</v>
      </c>
      <c r="X270">
        <v>148.1</v>
      </c>
      <c r="Y270">
        <v>129.30000000000001</v>
      </c>
      <c r="Z270">
        <v>144.5</v>
      </c>
      <c r="AA270">
        <v>152.5</v>
      </c>
      <c r="AB270">
        <v>152.19999999999999</v>
      </c>
      <c r="AC270">
        <v>142</v>
      </c>
      <c r="AD270">
        <v>150.80000000000001</v>
      </c>
      <c r="AE270">
        <f t="shared" si="50"/>
        <v>157</v>
      </c>
      <c r="AF270">
        <f t="shared" si="49"/>
        <v>154.69999999999999</v>
      </c>
      <c r="AG270">
        <f t="shared" si="51"/>
        <v>152.5</v>
      </c>
      <c r="AH270">
        <f t="shared" si="52"/>
        <v>137.1</v>
      </c>
      <c r="AI270">
        <f t="shared" si="53"/>
        <v>148.1</v>
      </c>
      <c r="AJ270">
        <f t="shared" si="53"/>
        <v>129.30000000000001</v>
      </c>
      <c r="AK270">
        <f t="shared" si="54"/>
        <v>149.69999999999999</v>
      </c>
      <c r="AL270">
        <f t="shared" si="55"/>
        <v>144.5</v>
      </c>
      <c r="AM270">
        <f t="shared" si="56"/>
        <v>186.7</v>
      </c>
      <c r="AN270">
        <f t="shared" si="57"/>
        <v>141.19999999999999</v>
      </c>
      <c r="AO270">
        <f t="shared" si="58"/>
        <v>150.08000000000001</v>
      </c>
    </row>
    <row r="271" spans="1:41" x14ac:dyDescent="0.45">
      <c r="A271" t="s">
        <v>34</v>
      </c>
      <c r="B271">
        <v>2020</v>
      </c>
      <c r="C271" t="s">
        <v>40</v>
      </c>
      <c r="D271">
        <v>154.69999999999999</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141.9</v>
      </c>
      <c r="W271">
        <v>146.4</v>
      </c>
      <c r="X271">
        <v>154.4</v>
      </c>
      <c r="Y271">
        <v>135</v>
      </c>
      <c r="Z271">
        <v>148.30000000000001</v>
      </c>
      <c r="AA271">
        <v>156.4</v>
      </c>
      <c r="AB271">
        <v>151.6</v>
      </c>
      <c r="AC271">
        <v>147</v>
      </c>
      <c r="AD271">
        <v>151.80000000000001</v>
      </c>
      <c r="AE271">
        <f t="shared" si="50"/>
        <v>154</v>
      </c>
      <c r="AF271">
        <f t="shared" si="49"/>
        <v>154.69999999999999</v>
      </c>
      <c r="AG271">
        <f t="shared" si="51"/>
        <v>156.4</v>
      </c>
      <c r="AH271">
        <f t="shared" si="52"/>
        <v>141.9</v>
      </c>
      <c r="AI271">
        <f t="shared" si="53"/>
        <v>154.4</v>
      </c>
      <c r="AJ271">
        <f t="shared" si="53"/>
        <v>135</v>
      </c>
      <c r="AK271">
        <f t="shared" si="54"/>
        <v>151.5</v>
      </c>
      <c r="AL271">
        <f t="shared" si="55"/>
        <v>148.30000000000001</v>
      </c>
      <c r="AM271">
        <f t="shared" si="56"/>
        <v>183.5</v>
      </c>
      <c r="AN271">
        <f t="shared" si="57"/>
        <v>146.69999999999999</v>
      </c>
      <c r="AO271">
        <f t="shared" si="58"/>
        <v>152.64000000000001</v>
      </c>
    </row>
    <row r="272" spans="1:41" x14ac:dyDescent="0.45">
      <c r="A272" t="s">
        <v>30</v>
      </c>
      <c r="B272">
        <v>2020</v>
      </c>
      <c r="C272" t="s">
        <v>41</v>
      </c>
      <c r="D272" t="s">
        <v>32</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v>145.80000000000001</v>
      </c>
      <c r="W272">
        <v>151.9</v>
      </c>
      <c r="X272">
        <v>158.80000000000001</v>
      </c>
      <c r="Y272">
        <v>143.6</v>
      </c>
      <c r="Z272">
        <v>152.19999999999999</v>
      </c>
      <c r="AA272">
        <v>162.69999999999999</v>
      </c>
      <c r="AB272">
        <v>153.6</v>
      </c>
      <c r="AC272">
        <v>153</v>
      </c>
      <c r="AD272">
        <v>154.69999999999999</v>
      </c>
      <c r="AE272">
        <f t="shared" si="50"/>
        <v>155.30000000000001</v>
      </c>
      <c r="AF272" t="str">
        <f t="shared" si="49"/>
        <v>NA</v>
      </c>
      <c r="AG272">
        <f t="shared" si="51"/>
        <v>162.69999999999999</v>
      </c>
      <c r="AH272">
        <f t="shared" si="52"/>
        <v>145.80000000000001</v>
      </c>
      <c r="AI272">
        <f t="shared" si="53"/>
        <v>158.80000000000001</v>
      </c>
      <c r="AJ272">
        <f t="shared" si="53"/>
        <v>143.6</v>
      </c>
      <c r="AK272">
        <f t="shared" si="54"/>
        <v>153.94999999999999</v>
      </c>
      <c r="AL272">
        <f t="shared" si="55"/>
        <v>152.19999999999999</v>
      </c>
      <c r="AM272">
        <f t="shared" si="56"/>
        <v>180.9</v>
      </c>
      <c r="AN272">
        <f t="shared" si="57"/>
        <v>152.44999999999999</v>
      </c>
      <c r="AO272">
        <f t="shared" si="58"/>
        <v>156.18888888888893</v>
      </c>
    </row>
    <row r="273" spans="1:41" x14ac:dyDescent="0.45">
      <c r="A273" t="s">
        <v>33</v>
      </c>
      <c r="B273">
        <v>2020</v>
      </c>
      <c r="C273" t="s">
        <v>41</v>
      </c>
      <c r="D273">
        <v>155.5</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138.30000000000001</v>
      </c>
      <c r="W273">
        <v>144.5</v>
      </c>
      <c r="X273">
        <v>148.69999999999999</v>
      </c>
      <c r="Y273">
        <v>133.9</v>
      </c>
      <c r="Z273">
        <v>141.19999999999999</v>
      </c>
      <c r="AA273">
        <v>155.5</v>
      </c>
      <c r="AB273">
        <v>155.19999999999999</v>
      </c>
      <c r="AC273">
        <v>144.80000000000001</v>
      </c>
      <c r="AD273">
        <v>152.9</v>
      </c>
      <c r="AE273">
        <f t="shared" si="50"/>
        <v>159.9</v>
      </c>
      <c r="AF273">
        <f t="shared" si="49"/>
        <v>155.5</v>
      </c>
      <c r="AG273">
        <f t="shared" si="51"/>
        <v>155.5</v>
      </c>
      <c r="AH273">
        <f t="shared" si="52"/>
        <v>138.30000000000001</v>
      </c>
      <c r="AI273">
        <f t="shared" si="53"/>
        <v>148.69999999999999</v>
      </c>
      <c r="AJ273">
        <f t="shared" si="53"/>
        <v>133.9</v>
      </c>
      <c r="AK273">
        <f t="shared" si="54"/>
        <v>151.5</v>
      </c>
      <c r="AL273">
        <f t="shared" si="55"/>
        <v>141.19999999999999</v>
      </c>
      <c r="AM273">
        <f t="shared" si="56"/>
        <v>187.2</v>
      </c>
      <c r="AN273">
        <f t="shared" si="57"/>
        <v>144.65</v>
      </c>
      <c r="AO273">
        <f t="shared" si="58"/>
        <v>151.63500000000005</v>
      </c>
    </row>
    <row r="274" spans="1:41" x14ac:dyDescent="0.45">
      <c r="A274" t="s">
        <v>34</v>
      </c>
      <c r="B274">
        <v>2020</v>
      </c>
      <c r="C274" t="s">
        <v>41</v>
      </c>
      <c r="D274">
        <v>155.5</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143</v>
      </c>
      <c r="W274">
        <v>148.4</v>
      </c>
      <c r="X274">
        <v>155</v>
      </c>
      <c r="Y274">
        <v>138.5</v>
      </c>
      <c r="Z274">
        <v>146</v>
      </c>
      <c r="AA274">
        <v>158.5</v>
      </c>
      <c r="AB274">
        <v>154.30000000000001</v>
      </c>
      <c r="AC274">
        <v>149</v>
      </c>
      <c r="AD274">
        <v>153.9</v>
      </c>
      <c r="AE274">
        <f t="shared" si="50"/>
        <v>157</v>
      </c>
      <c r="AF274">
        <f t="shared" si="49"/>
        <v>155.5</v>
      </c>
      <c r="AG274">
        <f t="shared" si="51"/>
        <v>158.5</v>
      </c>
      <c r="AH274">
        <f t="shared" si="52"/>
        <v>143</v>
      </c>
      <c r="AI274">
        <f t="shared" si="53"/>
        <v>155</v>
      </c>
      <c r="AJ274">
        <f t="shared" si="53"/>
        <v>138.5</v>
      </c>
      <c r="AK274">
        <f t="shared" si="54"/>
        <v>153</v>
      </c>
      <c r="AL274">
        <f t="shared" si="55"/>
        <v>146</v>
      </c>
      <c r="AM274">
        <f t="shared" si="56"/>
        <v>182.6</v>
      </c>
      <c r="AN274">
        <f t="shared" si="57"/>
        <v>148.69999999999999</v>
      </c>
      <c r="AO274">
        <f t="shared" si="58"/>
        <v>153.78</v>
      </c>
    </row>
    <row r="275" spans="1:41" x14ac:dyDescent="0.45">
      <c r="A275" t="s">
        <v>30</v>
      </c>
      <c r="B275">
        <v>2020</v>
      </c>
      <c r="C275" t="s">
        <v>42</v>
      </c>
      <c r="D275" t="s">
        <v>32</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v>146.4</v>
      </c>
      <c r="W275">
        <v>151.6</v>
      </c>
      <c r="X275">
        <v>159.1</v>
      </c>
      <c r="Y275">
        <v>144.6</v>
      </c>
      <c r="Z275">
        <v>152.80000000000001</v>
      </c>
      <c r="AA275">
        <v>161.1</v>
      </c>
      <c r="AB275">
        <v>157.4</v>
      </c>
      <c r="AC275">
        <v>153.69999999999999</v>
      </c>
      <c r="AD275">
        <v>155.4</v>
      </c>
      <c r="AE275">
        <f t="shared" si="50"/>
        <v>156.1</v>
      </c>
      <c r="AF275" t="str">
        <f t="shared" si="49"/>
        <v>NA</v>
      </c>
      <c r="AG275">
        <f t="shared" si="51"/>
        <v>161.1</v>
      </c>
      <c r="AH275">
        <f t="shared" si="52"/>
        <v>146.4</v>
      </c>
      <c r="AI275">
        <f t="shared" si="53"/>
        <v>159.1</v>
      </c>
      <c r="AJ275">
        <f t="shared" si="53"/>
        <v>144.6</v>
      </c>
      <c r="AK275">
        <f t="shared" si="54"/>
        <v>156</v>
      </c>
      <c r="AL275">
        <f t="shared" si="55"/>
        <v>152.80000000000001</v>
      </c>
      <c r="AM275">
        <f t="shared" si="56"/>
        <v>182.9</v>
      </c>
      <c r="AN275">
        <f t="shared" si="57"/>
        <v>152.64999999999998</v>
      </c>
      <c r="AO275">
        <f t="shared" si="58"/>
        <v>156.85000000000002</v>
      </c>
    </row>
    <row r="276" spans="1:41" x14ac:dyDescent="0.45">
      <c r="A276" t="s">
        <v>33</v>
      </c>
      <c r="B276">
        <v>2020</v>
      </c>
      <c r="C276" t="s">
        <v>42</v>
      </c>
      <c r="D276">
        <v>156.30000000000001</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137.19999999999999</v>
      </c>
      <c r="W276">
        <v>145.4</v>
      </c>
      <c r="X276">
        <v>150</v>
      </c>
      <c r="Y276">
        <v>135.1</v>
      </c>
      <c r="Z276">
        <v>141.80000000000001</v>
      </c>
      <c r="AA276">
        <v>154.9</v>
      </c>
      <c r="AB276">
        <v>159.80000000000001</v>
      </c>
      <c r="AC276">
        <v>146</v>
      </c>
      <c r="AD276">
        <v>154</v>
      </c>
      <c r="AE276">
        <f t="shared" si="50"/>
        <v>161.30000000000001</v>
      </c>
      <c r="AF276">
        <f t="shared" si="49"/>
        <v>156.30000000000001</v>
      </c>
      <c r="AG276">
        <f t="shared" si="51"/>
        <v>154.9</v>
      </c>
      <c r="AH276">
        <f t="shared" si="52"/>
        <v>137.19999999999999</v>
      </c>
      <c r="AI276">
        <f t="shared" si="53"/>
        <v>150</v>
      </c>
      <c r="AJ276">
        <f t="shared" si="53"/>
        <v>135.1</v>
      </c>
      <c r="AK276">
        <f t="shared" si="54"/>
        <v>153.94999999999999</v>
      </c>
      <c r="AL276">
        <f t="shared" si="55"/>
        <v>141.80000000000001</v>
      </c>
      <c r="AM276">
        <f t="shared" si="56"/>
        <v>188.7</v>
      </c>
      <c r="AN276">
        <f t="shared" si="57"/>
        <v>145.69999999999999</v>
      </c>
      <c r="AO276">
        <f t="shared" si="58"/>
        <v>152.495</v>
      </c>
    </row>
    <row r="277" spans="1:41" x14ac:dyDescent="0.45">
      <c r="A277" t="s">
        <v>34</v>
      </c>
      <c r="B277">
        <v>2020</v>
      </c>
      <c r="C277" t="s">
        <v>42</v>
      </c>
      <c r="D277">
        <v>156.30000000000001</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142.9</v>
      </c>
      <c r="W277">
        <v>148.69999999999999</v>
      </c>
      <c r="X277">
        <v>155.6</v>
      </c>
      <c r="Y277">
        <v>139.6</v>
      </c>
      <c r="Z277">
        <v>146.6</v>
      </c>
      <c r="AA277">
        <v>157.5</v>
      </c>
      <c r="AB277">
        <v>158.4</v>
      </c>
      <c r="AC277">
        <v>150</v>
      </c>
      <c r="AD277">
        <v>154.69999999999999</v>
      </c>
      <c r="AE277">
        <f t="shared" si="50"/>
        <v>158</v>
      </c>
      <c r="AF277">
        <f t="shared" si="49"/>
        <v>156.30000000000001</v>
      </c>
      <c r="AG277">
        <f t="shared" si="51"/>
        <v>157.5</v>
      </c>
      <c r="AH277">
        <f t="shared" si="52"/>
        <v>142.9</v>
      </c>
      <c r="AI277">
        <f t="shared" si="53"/>
        <v>155.6</v>
      </c>
      <c r="AJ277">
        <f t="shared" si="53"/>
        <v>139.6</v>
      </c>
      <c r="AK277">
        <f t="shared" si="54"/>
        <v>155.19999999999999</v>
      </c>
      <c r="AL277">
        <f t="shared" si="55"/>
        <v>146.6</v>
      </c>
      <c r="AM277">
        <f t="shared" si="56"/>
        <v>184.4</v>
      </c>
      <c r="AN277">
        <f t="shared" si="57"/>
        <v>149.35</v>
      </c>
      <c r="AO277">
        <f t="shared" si="58"/>
        <v>154.54500000000002</v>
      </c>
    </row>
    <row r="278" spans="1:41" x14ac:dyDescent="0.45">
      <c r="A278" t="s">
        <v>30</v>
      </c>
      <c r="B278">
        <v>2020</v>
      </c>
      <c r="C278" t="s">
        <v>43</v>
      </c>
      <c r="D278" t="s">
        <v>32</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v>146.80000000000001</v>
      </c>
      <c r="W278">
        <v>152</v>
      </c>
      <c r="X278">
        <v>159.5</v>
      </c>
      <c r="Y278">
        <v>146.4</v>
      </c>
      <c r="Z278">
        <v>152.4</v>
      </c>
      <c r="AA278">
        <v>162.5</v>
      </c>
      <c r="AB278">
        <v>156.19999999999999</v>
      </c>
      <c r="AC278">
        <v>154.30000000000001</v>
      </c>
      <c r="AD278">
        <v>157.5</v>
      </c>
      <c r="AE278">
        <f t="shared" si="50"/>
        <v>159.6</v>
      </c>
      <c r="AF278" t="str">
        <f t="shared" si="49"/>
        <v>NA</v>
      </c>
      <c r="AG278">
        <f t="shared" si="51"/>
        <v>162.5</v>
      </c>
      <c r="AH278">
        <f t="shared" si="52"/>
        <v>146.80000000000001</v>
      </c>
      <c r="AI278">
        <f t="shared" si="53"/>
        <v>159.5</v>
      </c>
      <c r="AJ278">
        <f t="shared" si="53"/>
        <v>146.4</v>
      </c>
      <c r="AK278">
        <f t="shared" si="54"/>
        <v>155.6</v>
      </c>
      <c r="AL278">
        <f t="shared" si="55"/>
        <v>152.4</v>
      </c>
      <c r="AM278">
        <f t="shared" si="56"/>
        <v>182.7</v>
      </c>
      <c r="AN278">
        <f t="shared" si="57"/>
        <v>153.15</v>
      </c>
      <c r="AO278">
        <f t="shared" si="58"/>
        <v>157.62777777777782</v>
      </c>
    </row>
    <row r="279" spans="1:41" x14ac:dyDescent="0.45">
      <c r="A279" t="s">
        <v>33</v>
      </c>
      <c r="B279">
        <v>2020</v>
      </c>
      <c r="C279" t="s">
        <v>43</v>
      </c>
      <c r="D279">
        <v>156.5</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137.1</v>
      </c>
      <c r="W279">
        <v>145.1</v>
      </c>
      <c r="X279">
        <v>151</v>
      </c>
      <c r="Y279">
        <v>135.4</v>
      </c>
      <c r="Z279">
        <v>142</v>
      </c>
      <c r="AA279">
        <v>155.69999999999999</v>
      </c>
      <c r="AB279">
        <v>158.1</v>
      </c>
      <c r="AC279">
        <v>146.19999999999999</v>
      </c>
      <c r="AD279">
        <v>155.19999999999999</v>
      </c>
      <c r="AE279">
        <f t="shared" si="50"/>
        <v>164.4</v>
      </c>
      <c r="AF279">
        <f t="shared" si="49"/>
        <v>156.5</v>
      </c>
      <c r="AG279">
        <f t="shared" si="51"/>
        <v>155.69999999999999</v>
      </c>
      <c r="AH279">
        <f t="shared" si="52"/>
        <v>137.1</v>
      </c>
      <c r="AI279">
        <f t="shared" si="53"/>
        <v>151</v>
      </c>
      <c r="AJ279">
        <f t="shared" si="53"/>
        <v>135.4</v>
      </c>
      <c r="AK279">
        <f t="shared" si="54"/>
        <v>153.19999999999999</v>
      </c>
      <c r="AL279">
        <f t="shared" si="55"/>
        <v>142</v>
      </c>
      <c r="AM279">
        <f t="shared" si="56"/>
        <v>188.7</v>
      </c>
      <c r="AN279">
        <f t="shared" si="57"/>
        <v>145.64999999999998</v>
      </c>
      <c r="AO279">
        <f t="shared" si="58"/>
        <v>152.965</v>
      </c>
    </row>
    <row r="280" spans="1:41" x14ac:dyDescent="0.45">
      <c r="A280" t="s">
        <v>34</v>
      </c>
      <c r="B280">
        <v>2020</v>
      </c>
      <c r="C280" t="s">
        <v>43</v>
      </c>
      <c r="D280">
        <v>156.5</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143.1</v>
      </c>
      <c r="W280">
        <v>148.69999999999999</v>
      </c>
      <c r="X280">
        <v>156.30000000000001</v>
      </c>
      <c r="Y280">
        <v>140.6</v>
      </c>
      <c r="Z280">
        <v>146.5</v>
      </c>
      <c r="AA280">
        <v>158.5</v>
      </c>
      <c r="AB280">
        <v>157</v>
      </c>
      <c r="AC280">
        <v>150.4</v>
      </c>
      <c r="AD280">
        <v>156.4</v>
      </c>
      <c r="AE280">
        <f t="shared" si="50"/>
        <v>161.4</v>
      </c>
      <c r="AF280">
        <f t="shared" si="49"/>
        <v>156.5</v>
      </c>
      <c r="AG280">
        <f t="shared" si="51"/>
        <v>158.5</v>
      </c>
      <c r="AH280">
        <f t="shared" si="52"/>
        <v>143.1</v>
      </c>
      <c r="AI280">
        <f t="shared" si="53"/>
        <v>156.30000000000001</v>
      </c>
      <c r="AJ280">
        <f t="shared" si="53"/>
        <v>140.6</v>
      </c>
      <c r="AK280">
        <f t="shared" si="54"/>
        <v>154.65</v>
      </c>
      <c r="AL280">
        <f t="shared" si="55"/>
        <v>146.5</v>
      </c>
      <c r="AM280">
        <f t="shared" si="56"/>
        <v>184.3</v>
      </c>
      <c r="AN280">
        <f t="shared" si="57"/>
        <v>149.55000000000001</v>
      </c>
      <c r="AO280">
        <f t="shared" si="58"/>
        <v>155.13999999999999</v>
      </c>
    </row>
    <row r="281" spans="1:41" x14ac:dyDescent="0.45">
      <c r="A281" t="s">
        <v>30</v>
      </c>
      <c r="B281">
        <v>2020</v>
      </c>
      <c r="C281" t="s">
        <v>45</v>
      </c>
      <c r="D281" t="s">
        <v>32</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v>147.5</v>
      </c>
      <c r="W281">
        <v>152.80000000000001</v>
      </c>
      <c r="X281">
        <v>160.4</v>
      </c>
      <c r="Y281">
        <v>146.1</v>
      </c>
      <c r="Z281">
        <v>153.6</v>
      </c>
      <c r="AA281">
        <v>161.6</v>
      </c>
      <c r="AB281">
        <v>156.19999999999999</v>
      </c>
      <c r="AC281">
        <v>154.5</v>
      </c>
      <c r="AD281">
        <v>159.80000000000001</v>
      </c>
      <c r="AE281">
        <f t="shared" si="50"/>
        <v>163.4</v>
      </c>
      <c r="AF281" t="str">
        <f t="shared" si="49"/>
        <v>NA</v>
      </c>
      <c r="AG281">
        <f t="shared" si="51"/>
        <v>161.6</v>
      </c>
      <c r="AH281">
        <f t="shared" si="52"/>
        <v>147.5</v>
      </c>
      <c r="AI281">
        <f t="shared" si="53"/>
        <v>160.4</v>
      </c>
      <c r="AJ281">
        <f t="shared" si="53"/>
        <v>146.1</v>
      </c>
      <c r="AK281">
        <f t="shared" si="54"/>
        <v>155.85</v>
      </c>
      <c r="AL281">
        <f t="shared" si="55"/>
        <v>153.6</v>
      </c>
      <c r="AM281">
        <f t="shared" si="56"/>
        <v>183.4</v>
      </c>
      <c r="AN281">
        <f t="shared" si="57"/>
        <v>153.65</v>
      </c>
      <c r="AO281">
        <f t="shared" si="58"/>
        <v>158.38888888888891</v>
      </c>
    </row>
    <row r="282" spans="1:41" x14ac:dyDescent="0.45">
      <c r="A282" t="s">
        <v>33</v>
      </c>
      <c r="B282">
        <v>2020</v>
      </c>
      <c r="C282" t="s">
        <v>45</v>
      </c>
      <c r="D282">
        <v>158</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137.30000000000001</v>
      </c>
      <c r="W282">
        <v>145.1</v>
      </c>
      <c r="X282">
        <v>152</v>
      </c>
      <c r="Y282">
        <v>135.19999999999999</v>
      </c>
      <c r="Z282">
        <v>144.4</v>
      </c>
      <c r="AA282">
        <v>156.4</v>
      </c>
      <c r="AB282">
        <v>157.9</v>
      </c>
      <c r="AC282">
        <v>146.6</v>
      </c>
      <c r="AD282">
        <v>156.69999999999999</v>
      </c>
      <c r="AE282">
        <f t="shared" si="50"/>
        <v>167</v>
      </c>
      <c r="AF282">
        <f t="shared" si="49"/>
        <v>158</v>
      </c>
      <c r="AG282">
        <f t="shared" si="51"/>
        <v>156.4</v>
      </c>
      <c r="AH282">
        <f t="shared" si="52"/>
        <v>137.30000000000001</v>
      </c>
      <c r="AI282">
        <f t="shared" si="53"/>
        <v>152</v>
      </c>
      <c r="AJ282">
        <f t="shared" si="53"/>
        <v>135.19999999999999</v>
      </c>
      <c r="AK282">
        <f t="shared" si="54"/>
        <v>153.35000000000002</v>
      </c>
      <c r="AL282">
        <f t="shared" si="55"/>
        <v>144.4</v>
      </c>
      <c r="AM282">
        <f t="shared" si="56"/>
        <v>188.8</v>
      </c>
      <c r="AN282">
        <f t="shared" si="57"/>
        <v>145.85</v>
      </c>
      <c r="AO282">
        <f t="shared" si="58"/>
        <v>153.82999999999998</v>
      </c>
    </row>
    <row r="283" spans="1:41" x14ac:dyDescent="0.45">
      <c r="A283" t="s">
        <v>34</v>
      </c>
      <c r="B283">
        <v>2020</v>
      </c>
      <c r="C283" t="s">
        <v>45</v>
      </c>
      <c r="D283">
        <v>158</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143.6</v>
      </c>
      <c r="W283">
        <v>149.19999999999999</v>
      </c>
      <c r="X283">
        <v>157.19999999999999</v>
      </c>
      <c r="Y283">
        <v>140.4</v>
      </c>
      <c r="Z283">
        <v>148.4</v>
      </c>
      <c r="AA283">
        <v>158.6</v>
      </c>
      <c r="AB283">
        <v>156.9</v>
      </c>
      <c r="AC283">
        <v>150.69999999999999</v>
      </c>
      <c r="AD283">
        <v>158.4</v>
      </c>
      <c r="AE283">
        <f t="shared" si="50"/>
        <v>164.7</v>
      </c>
      <c r="AF283">
        <f t="shared" si="49"/>
        <v>158</v>
      </c>
      <c r="AG283">
        <f t="shared" si="51"/>
        <v>158.6</v>
      </c>
      <c r="AH283">
        <f t="shared" si="52"/>
        <v>143.6</v>
      </c>
      <c r="AI283">
        <f t="shared" si="53"/>
        <v>157.19999999999999</v>
      </c>
      <c r="AJ283">
        <f t="shared" si="53"/>
        <v>140.4</v>
      </c>
      <c r="AK283">
        <f t="shared" si="54"/>
        <v>154.85000000000002</v>
      </c>
      <c r="AL283">
        <f t="shared" si="55"/>
        <v>148.4</v>
      </c>
      <c r="AM283">
        <f t="shared" si="56"/>
        <v>184.8</v>
      </c>
      <c r="AN283">
        <f t="shared" si="57"/>
        <v>149.94999999999999</v>
      </c>
      <c r="AO283">
        <f t="shared" si="58"/>
        <v>156.05000000000001</v>
      </c>
    </row>
    <row r="284" spans="1:41" x14ac:dyDescent="0.45">
      <c r="A284" t="s">
        <v>30</v>
      </c>
      <c r="B284">
        <v>2020</v>
      </c>
      <c r="C284" t="s">
        <v>46</v>
      </c>
      <c r="D284" t="s">
        <v>32</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v>148.69999999999999</v>
      </c>
      <c r="W284">
        <v>153.4</v>
      </c>
      <c r="X284">
        <v>161.6</v>
      </c>
      <c r="Y284">
        <v>146.4</v>
      </c>
      <c r="Z284">
        <v>153.9</v>
      </c>
      <c r="AA284">
        <v>162.9</v>
      </c>
      <c r="AB284">
        <v>156.6</v>
      </c>
      <c r="AC284">
        <v>155.19999999999999</v>
      </c>
      <c r="AD284">
        <v>160.69999999999999</v>
      </c>
      <c r="AE284">
        <f t="shared" si="50"/>
        <v>164.5</v>
      </c>
      <c r="AF284" t="str">
        <f t="shared" si="49"/>
        <v>NA</v>
      </c>
      <c r="AG284">
        <f t="shared" si="51"/>
        <v>162.9</v>
      </c>
      <c r="AH284">
        <f t="shared" si="52"/>
        <v>148.69999999999999</v>
      </c>
      <c r="AI284">
        <f t="shared" si="53"/>
        <v>161.6</v>
      </c>
      <c r="AJ284">
        <f t="shared" si="53"/>
        <v>146.4</v>
      </c>
      <c r="AK284">
        <f t="shared" si="54"/>
        <v>156.44999999999999</v>
      </c>
      <c r="AL284">
        <f t="shared" si="55"/>
        <v>153.9</v>
      </c>
      <c r="AM284">
        <f t="shared" si="56"/>
        <v>183.6</v>
      </c>
      <c r="AN284">
        <f t="shared" si="57"/>
        <v>154.30000000000001</v>
      </c>
      <c r="AO284">
        <f t="shared" si="58"/>
        <v>159.14999999999998</v>
      </c>
    </row>
    <row r="285" spans="1:41" x14ac:dyDescent="0.45">
      <c r="A285" t="s">
        <v>33</v>
      </c>
      <c r="B285">
        <v>2020</v>
      </c>
      <c r="C285" t="s">
        <v>46</v>
      </c>
      <c r="D285">
        <v>158.4</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137.9</v>
      </c>
      <c r="W285">
        <v>145.5</v>
      </c>
      <c r="X285">
        <v>152.9</v>
      </c>
      <c r="Y285">
        <v>135.5</v>
      </c>
      <c r="Z285">
        <v>144.30000000000001</v>
      </c>
      <c r="AA285">
        <v>156.9</v>
      </c>
      <c r="AB285">
        <v>157.9</v>
      </c>
      <c r="AC285">
        <v>146.9</v>
      </c>
      <c r="AD285">
        <v>156.9</v>
      </c>
      <c r="AE285">
        <f t="shared" si="50"/>
        <v>167</v>
      </c>
      <c r="AF285">
        <f t="shared" si="49"/>
        <v>158.4</v>
      </c>
      <c r="AG285">
        <f t="shared" si="51"/>
        <v>156.9</v>
      </c>
      <c r="AH285">
        <f t="shared" si="52"/>
        <v>137.9</v>
      </c>
      <c r="AI285">
        <f t="shared" si="53"/>
        <v>152.9</v>
      </c>
      <c r="AJ285">
        <f t="shared" si="53"/>
        <v>135.5</v>
      </c>
      <c r="AK285">
        <f t="shared" si="54"/>
        <v>153.75</v>
      </c>
      <c r="AL285">
        <f t="shared" si="55"/>
        <v>144.30000000000001</v>
      </c>
      <c r="AM285">
        <f t="shared" si="56"/>
        <v>190.2</v>
      </c>
      <c r="AN285">
        <f t="shared" si="57"/>
        <v>146.19999999999999</v>
      </c>
      <c r="AO285">
        <f t="shared" si="58"/>
        <v>154.30500000000001</v>
      </c>
    </row>
    <row r="286" spans="1:41" x14ac:dyDescent="0.45">
      <c r="A286" t="s">
        <v>34</v>
      </c>
      <c r="B286">
        <v>2020</v>
      </c>
      <c r="C286" t="s">
        <v>46</v>
      </c>
      <c r="D286">
        <v>158.4</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144.6</v>
      </c>
      <c r="W286">
        <v>149.69999999999999</v>
      </c>
      <c r="X286">
        <v>158.30000000000001</v>
      </c>
      <c r="Y286">
        <v>140.69999999999999</v>
      </c>
      <c r="Z286">
        <v>148.5</v>
      </c>
      <c r="AA286">
        <v>159.4</v>
      </c>
      <c r="AB286">
        <v>157.1</v>
      </c>
      <c r="AC286">
        <v>151.19999999999999</v>
      </c>
      <c r="AD286">
        <v>158.9</v>
      </c>
      <c r="AE286">
        <f t="shared" si="50"/>
        <v>165.4</v>
      </c>
      <c r="AF286">
        <f t="shared" si="49"/>
        <v>158.4</v>
      </c>
      <c r="AG286">
        <f t="shared" si="51"/>
        <v>159.4</v>
      </c>
      <c r="AH286">
        <f t="shared" si="52"/>
        <v>144.6</v>
      </c>
      <c r="AI286">
        <f t="shared" si="53"/>
        <v>158.30000000000001</v>
      </c>
      <c r="AJ286">
        <f t="shared" si="53"/>
        <v>140.69999999999999</v>
      </c>
      <c r="AK286">
        <f t="shared" si="54"/>
        <v>155.35</v>
      </c>
      <c r="AL286">
        <f t="shared" si="55"/>
        <v>148.5</v>
      </c>
      <c r="AM286">
        <f t="shared" si="56"/>
        <v>185.4</v>
      </c>
      <c r="AN286">
        <f t="shared" si="57"/>
        <v>150.44999999999999</v>
      </c>
      <c r="AO286">
        <f t="shared" si="58"/>
        <v>156.65000000000003</v>
      </c>
    </row>
    <row r="287" spans="1:41" x14ac:dyDescent="0.45">
      <c r="A287" t="s">
        <v>30</v>
      </c>
      <c r="B287">
        <v>2021</v>
      </c>
      <c r="C287" t="s">
        <v>31</v>
      </c>
      <c r="D287" t="s">
        <v>32</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v>150.9</v>
      </c>
      <c r="W287">
        <v>153.9</v>
      </c>
      <c r="X287">
        <v>162.5</v>
      </c>
      <c r="Y287">
        <v>147.5</v>
      </c>
      <c r="Z287">
        <v>155.1</v>
      </c>
      <c r="AA287">
        <v>163.5</v>
      </c>
      <c r="AB287">
        <v>156.19999999999999</v>
      </c>
      <c r="AC287">
        <v>155.9</v>
      </c>
      <c r="AD287">
        <v>158.5</v>
      </c>
      <c r="AE287">
        <f t="shared" si="50"/>
        <v>159.6</v>
      </c>
      <c r="AF287" t="str">
        <f t="shared" si="49"/>
        <v>NA</v>
      </c>
      <c r="AG287">
        <f t="shared" si="51"/>
        <v>163.5</v>
      </c>
      <c r="AH287">
        <f t="shared" si="52"/>
        <v>150.9</v>
      </c>
      <c r="AI287">
        <f t="shared" si="53"/>
        <v>162.5</v>
      </c>
      <c r="AJ287">
        <f t="shared" si="53"/>
        <v>147.5</v>
      </c>
      <c r="AK287">
        <f t="shared" si="54"/>
        <v>156.5</v>
      </c>
      <c r="AL287">
        <f t="shared" si="55"/>
        <v>155.1</v>
      </c>
      <c r="AM287">
        <f t="shared" si="56"/>
        <v>184.6</v>
      </c>
      <c r="AN287">
        <f t="shared" si="57"/>
        <v>154.9</v>
      </c>
      <c r="AO287">
        <f t="shared" si="58"/>
        <v>159.45555555555555</v>
      </c>
    </row>
    <row r="288" spans="1:41" x14ac:dyDescent="0.45">
      <c r="A288" t="s">
        <v>33</v>
      </c>
      <c r="B288">
        <v>2021</v>
      </c>
      <c r="C288" t="s">
        <v>31</v>
      </c>
      <c r="D288">
        <v>157.69999999999999</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142.9</v>
      </c>
      <c r="W288">
        <v>145.69999999999999</v>
      </c>
      <c r="X288">
        <v>154.1</v>
      </c>
      <c r="Y288">
        <v>136.9</v>
      </c>
      <c r="Z288">
        <v>145.4</v>
      </c>
      <c r="AA288">
        <v>156.1</v>
      </c>
      <c r="AB288">
        <v>157.69999999999999</v>
      </c>
      <c r="AC288">
        <v>147.6</v>
      </c>
      <c r="AD288">
        <v>156</v>
      </c>
      <c r="AE288">
        <f t="shared" si="50"/>
        <v>163.4</v>
      </c>
      <c r="AF288">
        <f t="shared" si="49"/>
        <v>157.69999999999999</v>
      </c>
      <c r="AG288">
        <f t="shared" si="51"/>
        <v>156.1</v>
      </c>
      <c r="AH288">
        <f t="shared" si="52"/>
        <v>142.9</v>
      </c>
      <c r="AI288">
        <f t="shared" si="53"/>
        <v>154.1</v>
      </c>
      <c r="AJ288">
        <f t="shared" si="53"/>
        <v>136.9</v>
      </c>
      <c r="AK288">
        <f t="shared" si="54"/>
        <v>153.94999999999999</v>
      </c>
      <c r="AL288">
        <f t="shared" si="55"/>
        <v>145.4</v>
      </c>
      <c r="AM288">
        <f t="shared" si="56"/>
        <v>191.8</v>
      </c>
      <c r="AN288">
        <f t="shared" si="57"/>
        <v>146.64999999999998</v>
      </c>
      <c r="AO288">
        <f t="shared" si="58"/>
        <v>154.89000000000001</v>
      </c>
    </row>
    <row r="289" spans="1:41" x14ac:dyDescent="0.45">
      <c r="A289" t="s">
        <v>34</v>
      </c>
      <c r="B289">
        <v>2021</v>
      </c>
      <c r="C289" t="s">
        <v>31</v>
      </c>
      <c r="D289">
        <v>157.69999999999999</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147.9</v>
      </c>
      <c r="W289">
        <v>150</v>
      </c>
      <c r="X289">
        <v>159.30000000000001</v>
      </c>
      <c r="Y289">
        <v>141.9</v>
      </c>
      <c r="Z289">
        <v>149.6</v>
      </c>
      <c r="AA289">
        <v>159.19999999999999</v>
      </c>
      <c r="AB289">
        <v>156.80000000000001</v>
      </c>
      <c r="AC289">
        <v>151.9</v>
      </c>
      <c r="AD289">
        <v>157.30000000000001</v>
      </c>
      <c r="AE289">
        <f t="shared" si="50"/>
        <v>161</v>
      </c>
      <c r="AF289">
        <f t="shared" si="49"/>
        <v>157.69999999999999</v>
      </c>
      <c r="AG289">
        <f t="shared" si="51"/>
        <v>159.19999999999999</v>
      </c>
      <c r="AH289">
        <f t="shared" si="52"/>
        <v>147.9</v>
      </c>
      <c r="AI289">
        <f t="shared" si="53"/>
        <v>159.30000000000001</v>
      </c>
      <c r="AJ289">
        <f t="shared" si="53"/>
        <v>141.9</v>
      </c>
      <c r="AK289">
        <f t="shared" si="54"/>
        <v>155.5</v>
      </c>
      <c r="AL289">
        <f t="shared" si="55"/>
        <v>149.6</v>
      </c>
      <c r="AM289">
        <f t="shared" si="56"/>
        <v>186.5</v>
      </c>
      <c r="AN289">
        <f t="shared" si="57"/>
        <v>150.94999999999999</v>
      </c>
      <c r="AO289">
        <f t="shared" si="58"/>
        <v>156.95499999999998</v>
      </c>
    </row>
    <row r="290" spans="1:41" x14ac:dyDescent="0.45">
      <c r="A290" t="s">
        <v>30</v>
      </c>
      <c r="B290">
        <v>2021</v>
      </c>
      <c r="C290" t="s">
        <v>35</v>
      </c>
      <c r="D290" t="s">
        <v>32</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v>154.4</v>
      </c>
      <c r="W290">
        <v>154.80000000000001</v>
      </c>
      <c r="X290">
        <v>164.3</v>
      </c>
      <c r="Y290">
        <v>150.19999999999999</v>
      </c>
      <c r="Z290">
        <v>157</v>
      </c>
      <c r="AA290">
        <v>163.6</v>
      </c>
      <c r="AB290">
        <v>155.19999999999999</v>
      </c>
      <c r="AC290">
        <v>157.19999999999999</v>
      </c>
      <c r="AD290">
        <v>156.69999999999999</v>
      </c>
      <c r="AE290">
        <f t="shared" si="50"/>
        <v>154.69999999999999</v>
      </c>
      <c r="AF290" t="str">
        <f t="shared" si="49"/>
        <v>NA</v>
      </c>
      <c r="AG290">
        <f t="shared" si="51"/>
        <v>163.6</v>
      </c>
      <c r="AH290">
        <f t="shared" si="52"/>
        <v>154.4</v>
      </c>
      <c r="AI290">
        <f t="shared" si="53"/>
        <v>164.3</v>
      </c>
      <c r="AJ290">
        <f t="shared" si="53"/>
        <v>150.19999999999999</v>
      </c>
      <c r="AK290">
        <f t="shared" si="54"/>
        <v>156.80000000000001</v>
      </c>
      <c r="AL290">
        <f t="shared" si="55"/>
        <v>157</v>
      </c>
      <c r="AM290">
        <f t="shared" si="56"/>
        <v>186.5</v>
      </c>
      <c r="AN290">
        <f t="shared" si="57"/>
        <v>156</v>
      </c>
      <c r="AO290">
        <f t="shared" si="58"/>
        <v>160.38888888888889</v>
      </c>
    </row>
    <row r="291" spans="1:41" x14ac:dyDescent="0.45">
      <c r="A291" t="s">
        <v>33</v>
      </c>
      <c r="B291">
        <v>2021</v>
      </c>
      <c r="C291" t="s">
        <v>35</v>
      </c>
      <c r="D291">
        <v>159.80000000000001</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149.1</v>
      </c>
      <c r="W291">
        <v>146.5</v>
      </c>
      <c r="X291">
        <v>156.30000000000001</v>
      </c>
      <c r="Y291">
        <v>140.5</v>
      </c>
      <c r="Z291">
        <v>147.30000000000001</v>
      </c>
      <c r="AA291">
        <v>156.6</v>
      </c>
      <c r="AB291">
        <v>156.69999999999999</v>
      </c>
      <c r="AC291">
        <v>149.30000000000001</v>
      </c>
      <c r="AD291">
        <v>156.5</v>
      </c>
      <c r="AE291">
        <f t="shared" si="50"/>
        <v>160.80000000000001</v>
      </c>
      <c r="AF291">
        <f t="shared" si="49"/>
        <v>159.80000000000001</v>
      </c>
      <c r="AG291">
        <f t="shared" si="51"/>
        <v>156.6</v>
      </c>
      <c r="AH291">
        <f t="shared" si="52"/>
        <v>149.1</v>
      </c>
      <c r="AI291">
        <f t="shared" si="53"/>
        <v>156.30000000000001</v>
      </c>
      <c r="AJ291">
        <f t="shared" si="53"/>
        <v>140.5</v>
      </c>
      <c r="AK291">
        <f t="shared" si="54"/>
        <v>154.25</v>
      </c>
      <c r="AL291">
        <f t="shared" si="55"/>
        <v>147.30000000000001</v>
      </c>
      <c r="AM291">
        <f t="shared" si="56"/>
        <v>193.3</v>
      </c>
      <c r="AN291">
        <f t="shared" si="57"/>
        <v>147.9</v>
      </c>
      <c r="AO291">
        <f t="shared" si="58"/>
        <v>156.58500000000001</v>
      </c>
    </row>
    <row r="292" spans="1:41" x14ac:dyDescent="0.45">
      <c r="A292" t="s">
        <v>34</v>
      </c>
      <c r="B292">
        <v>2021</v>
      </c>
      <c r="C292" t="s">
        <v>35</v>
      </c>
      <c r="D292">
        <v>159.80000000000001</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152.4</v>
      </c>
      <c r="W292">
        <v>150.9</v>
      </c>
      <c r="X292">
        <v>161.30000000000001</v>
      </c>
      <c r="Y292">
        <v>145.1</v>
      </c>
      <c r="Z292">
        <v>151.5</v>
      </c>
      <c r="AA292">
        <v>159.5</v>
      </c>
      <c r="AB292">
        <v>155.80000000000001</v>
      </c>
      <c r="AC292">
        <v>153.4</v>
      </c>
      <c r="AD292">
        <v>156.6</v>
      </c>
      <c r="AE292">
        <f t="shared" si="50"/>
        <v>156.9</v>
      </c>
      <c r="AF292">
        <f t="shared" si="49"/>
        <v>159.80000000000001</v>
      </c>
      <c r="AG292">
        <f t="shared" si="51"/>
        <v>159.5</v>
      </c>
      <c r="AH292">
        <f t="shared" si="52"/>
        <v>152.4</v>
      </c>
      <c r="AI292">
        <f t="shared" si="53"/>
        <v>161.30000000000001</v>
      </c>
      <c r="AJ292">
        <f t="shared" si="53"/>
        <v>145.1</v>
      </c>
      <c r="AK292">
        <f t="shared" si="54"/>
        <v>155.80000000000001</v>
      </c>
      <c r="AL292">
        <f t="shared" si="55"/>
        <v>151.5</v>
      </c>
      <c r="AM292">
        <f t="shared" si="56"/>
        <v>188.3</v>
      </c>
      <c r="AN292">
        <f t="shared" si="57"/>
        <v>152.15</v>
      </c>
      <c r="AO292">
        <f t="shared" si="58"/>
        <v>158.27500000000003</v>
      </c>
    </row>
    <row r="293" spans="1:41" x14ac:dyDescent="0.45">
      <c r="A293" t="s">
        <v>30</v>
      </c>
      <c r="B293">
        <v>2021</v>
      </c>
      <c r="C293" t="s">
        <v>36</v>
      </c>
      <c r="D293" t="s">
        <v>48</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v>156</v>
      </c>
      <c r="W293">
        <v>154.80000000000001</v>
      </c>
      <c r="X293">
        <v>164.6</v>
      </c>
      <c r="Y293">
        <v>151.30000000000001</v>
      </c>
      <c r="Z293">
        <v>157.80000000000001</v>
      </c>
      <c r="AA293">
        <v>163.80000000000001</v>
      </c>
      <c r="AB293">
        <v>153.1</v>
      </c>
      <c r="AC293">
        <v>157.30000000000001</v>
      </c>
      <c r="AD293">
        <v>156.69999999999999</v>
      </c>
      <c r="AE293">
        <f t="shared" si="50"/>
        <v>154.5</v>
      </c>
      <c r="AF293" t="str">
        <f t="shared" si="49"/>
        <v>-</v>
      </c>
      <c r="AG293">
        <f t="shared" si="51"/>
        <v>163.80000000000001</v>
      </c>
      <c r="AH293">
        <f t="shared" si="52"/>
        <v>156</v>
      </c>
      <c r="AI293">
        <f t="shared" si="53"/>
        <v>164.6</v>
      </c>
      <c r="AJ293">
        <f t="shared" si="53"/>
        <v>151.30000000000001</v>
      </c>
      <c r="AK293">
        <f t="shared" si="54"/>
        <v>156</v>
      </c>
      <c r="AL293">
        <f t="shared" si="55"/>
        <v>157.80000000000001</v>
      </c>
      <c r="AM293">
        <f t="shared" si="56"/>
        <v>186.1</v>
      </c>
      <c r="AN293">
        <f t="shared" si="57"/>
        <v>156.05000000000001</v>
      </c>
      <c r="AO293">
        <f t="shared" si="58"/>
        <v>160.68333333333331</v>
      </c>
    </row>
    <row r="294" spans="1:41" x14ac:dyDescent="0.45">
      <c r="A294" t="s">
        <v>33</v>
      </c>
      <c r="B294">
        <v>2021</v>
      </c>
      <c r="C294" t="s">
        <v>36</v>
      </c>
      <c r="D294">
        <v>159.9</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154.80000000000001</v>
      </c>
      <c r="W294">
        <v>147.19999999999999</v>
      </c>
      <c r="X294">
        <v>156.9</v>
      </c>
      <c r="Y294">
        <v>141.69999999999999</v>
      </c>
      <c r="Z294">
        <v>148.6</v>
      </c>
      <c r="AA294">
        <v>157.6</v>
      </c>
      <c r="AB294">
        <v>154.9</v>
      </c>
      <c r="AC294">
        <v>150</v>
      </c>
      <c r="AD294">
        <v>156.9</v>
      </c>
      <c r="AE294">
        <f t="shared" si="50"/>
        <v>160.4</v>
      </c>
      <c r="AF294">
        <f t="shared" si="49"/>
        <v>159.9</v>
      </c>
      <c r="AG294">
        <f t="shared" si="51"/>
        <v>157.6</v>
      </c>
      <c r="AH294">
        <f t="shared" si="52"/>
        <v>154.80000000000001</v>
      </c>
      <c r="AI294">
        <f t="shared" si="53"/>
        <v>156.9</v>
      </c>
      <c r="AJ294">
        <f t="shared" si="53"/>
        <v>141.69999999999999</v>
      </c>
      <c r="AK294">
        <f t="shared" si="54"/>
        <v>153.75</v>
      </c>
      <c r="AL294">
        <f t="shared" si="55"/>
        <v>148.6</v>
      </c>
      <c r="AM294">
        <f t="shared" si="56"/>
        <v>193.5</v>
      </c>
      <c r="AN294">
        <f t="shared" si="57"/>
        <v>148.6</v>
      </c>
      <c r="AO294">
        <f t="shared" si="58"/>
        <v>157.57499999999999</v>
      </c>
    </row>
    <row r="295" spans="1:41" x14ac:dyDescent="0.45">
      <c r="A295" t="s">
        <v>34</v>
      </c>
      <c r="B295">
        <v>2021</v>
      </c>
      <c r="C295" t="s">
        <v>36</v>
      </c>
      <c r="D295">
        <v>159.9</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155.5</v>
      </c>
      <c r="W295">
        <v>151.19999999999999</v>
      </c>
      <c r="X295">
        <v>161.69999999999999</v>
      </c>
      <c r="Y295">
        <v>146.19999999999999</v>
      </c>
      <c r="Z295">
        <v>152.6</v>
      </c>
      <c r="AA295">
        <v>160.19999999999999</v>
      </c>
      <c r="AB295">
        <v>153.80000000000001</v>
      </c>
      <c r="AC295">
        <v>153.80000000000001</v>
      </c>
      <c r="AD295">
        <v>156.80000000000001</v>
      </c>
      <c r="AE295">
        <f t="shared" si="50"/>
        <v>156.69999999999999</v>
      </c>
      <c r="AF295">
        <f t="shared" si="49"/>
        <v>159.9</v>
      </c>
      <c r="AG295">
        <f t="shared" si="51"/>
        <v>160.19999999999999</v>
      </c>
      <c r="AH295">
        <f t="shared" si="52"/>
        <v>155.5</v>
      </c>
      <c r="AI295">
        <f t="shared" si="53"/>
        <v>161.69999999999999</v>
      </c>
      <c r="AJ295">
        <f t="shared" si="53"/>
        <v>146.19999999999999</v>
      </c>
      <c r="AK295">
        <f t="shared" si="54"/>
        <v>155.10000000000002</v>
      </c>
      <c r="AL295">
        <f t="shared" si="55"/>
        <v>152.6</v>
      </c>
      <c r="AM295">
        <f t="shared" si="56"/>
        <v>188.1</v>
      </c>
      <c r="AN295">
        <f t="shared" si="57"/>
        <v>152.5</v>
      </c>
      <c r="AO295">
        <f t="shared" si="58"/>
        <v>158.85</v>
      </c>
    </row>
    <row r="296" spans="1:41" x14ac:dyDescent="0.45">
      <c r="A296" t="s">
        <v>30</v>
      </c>
      <c r="B296">
        <v>2021</v>
      </c>
      <c r="C296" t="s">
        <v>37</v>
      </c>
      <c r="D296" t="s">
        <v>48</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v>156</v>
      </c>
      <c r="W296">
        <v>155.5</v>
      </c>
      <c r="X296">
        <v>165.3</v>
      </c>
      <c r="Y296">
        <v>151.69999999999999</v>
      </c>
      <c r="Z296">
        <v>158.6</v>
      </c>
      <c r="AA296">
        <v>164.1</v>
      </c>
      <c r="AB296">
        <v>154.6</v>
      </c>
      <c r="AC296">
        <v>158</v>
      </c>
      <c r="AD296">
        <v>157.6</v>
      </c>
      <c r="AE296">
        <f t="shared" si="50"/>
        <v>155.6</v>
      </c>
      <c r="AF296" t="str">
        <f t="shared" si="49"/>
        <v>-</v>
      </c>
      <c r="AG296">
        <f t="shared" si="51"/>
        <v>164.1</v>
      </c>
      <c r="AH296">
        <f t="shared" si="52"/>
        <v>156</v>
      </c>
      <c r="AI296">
        <f t="shared" si="53"/>
        <v>165.3</v>
      </c>
      <c r="AJ296">
        <f t="shared" si="53"/>
        <v>151.69999999999999</v>
      </c>
      <c r="AK296">
        <f t="shared" si="54"/>
        <v>157.25</v>
      </c>
      <c r="AL296">
        <f t="shared" si="55"/>
        <v>158.6</v>
      </c>
      <c r="AM296">
        <f t="shared" si="56"/>
        <v>186.8</v>
      </c>
      <c r="AN296">
        <f t="shared" si="57"/>
        <v>156.75</v>
      </c>
      <c r="AO296">
        <f t="shared" si="58"/>
        <v>161.34444444444443</v>
      </c>
    </row>
    <row r="297" spans="1:41" x14ac:dyDescent="0.45">
      <c r="A297" t="s">
        <v>33</v>
      </c>
      <c r="B297">
        <v>2021</v>
      </c>
      <c r="C297" t="s">
        <v>37</v>
      </c>
      <c r="D297">
        <v>161.4</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154.9</v>
      </c>
      <c r="W297">
        <v>147.6</v>
      </c>
      <c r="X297">
        <v>157.5</v>
      </c>
      <c r="Y297">
        <v>142.1</v>
      </c>
      <c r="Z297">
        <v>149.1</v>
      </c>
      <c r="AA297">
        <v>157.6</v>
      </c>
      <c r="AB297">
        <v>156.6</v>
      </c>
      <c r="AC297">
        <v>150.5</v>
      </c>
      <c r="AD297">
        <v>158</v>
      </c>
      <c r="AE297">
        <f t="shared" si="50"/>
        <v>162</v>
      </c>
      <c r="AF297">
        <f t="shared" si="49"/>
        <v>161.4</v>
      </c>
      <c r="AG297">
        <f t="shared" si="51"/>
        <v>157.6</v>
      </c>
      <c r="AH297">
        <f t="shared" si="52"/>
        <v>154.9</v>
      </c>
      <c r="AI297">
        <f t="shared" si="53"/>
        <v>157.5</v>
      </c>
      <c r="AJ297">
        <f t="shared" si="53"/>
        <v>142.1</v>
      </c>
      <c r="AK297">
        <f t="shared" si="54"/>
        <v>155</v>
      </c>
      <c r="AL297">
        <f t="shared" si="55"/>
        <v>149.1</v>
      </c>
      <c r="AM297">
        <f t="shared" si="56"/>
        <v>194.4</v>
      </c>
      <c r="AN297">
        <f t="shared" si="57"/>
        <v>149.05000000000001</v>
      </c>
      <c r="AO297">
        <f t="shared" si="58"/>
        <v>158.30500000000001</v>
      </c>
    </row>
    <row r="298" spans="1:41" x14ac:dyDescent="0.45">
      <c r="A298" t="s">
        <v>34</v>
      </c>
      <c r="B298">
        <v>2021</v>
      </c>
      <c r="C298" t="s">
        <v>37</v>
      </c>
      <c r="D298">
        <v>161.4</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155.6</v>
      </c>
      <c r="W298">
        <v>151.80000000000001</v>
      </c>
      <c r="X298">
        <v>162.30000000000001</v>
      </c>
      <c r="Y298">
        <v>146.6</v>
      </c>
      <c r="Z298">
        <v>153.19999999999999</v>
      </c>
      <c r="AA298">
        <v>160.30000000000001</v>
      </c>
      <c r="AB298">
        <v>155.4</v>
      </c>
      <c r="AC298">
        <v>154.4</v>
      </c>
      <c r="AD298">
        <v>157.80000000000001</v>
      </c>
      <c r="AE298">
        <f t="shared" si="50"/>
        <v>158</v>
      </c>
      <c r="AF298">
        <f t="shared" si="49"/>
        <v>161.4</v>
      </c>
      <c r="AG298">
        <f t="shared" si="51"/>
        <v>160.30000000000001</v>
      </c>
      <c r="AH298">
        <f t="shared" si="52"/>
        <v>155.6</v>
      </c>
      <c r="AI298">
        <f t="shared" si="53"/>
        <v>162.30000000000001</v>
      </c>
      <c r="AJ298">
        <f t="shared" si="53"/>
        <v>146.6</v>
      </c>
      <c r="AK298">
        <f t="shared" si="54"/>
        <v>156.35000000000002</v>
      </c>
      <c r="AL298">
        <f t="shared" si="55"/>
        <v>153.19999999999999</v>
      </c>
      <c r="AM298">
        <f t="shared" si="56"/>
        <v>188.8</v>
      </c>
      <c r="AN298">
        <f t="shared" si="57"/>
        <v>153.10000000000002</v>
      </c>
      <c r="AO298">
        <f t="shared" si="58"/>
        <v>159.565</v>
      </c>
    </row>
    <row r="299" spans="1:41" x14ac:dyDescent="0.45">
      <c r="A299" t="s">
        <v>30</v>
      </c>
      <c r="B299">
        <v>2021</v>
      </c>
      <c r="C299" t="s">
        <v>38</v>
      </c>
      <c r="D299" t="s">
        <v>32</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v>161.69999999999999</v>
      </c>
      <c r="W299">
        <v>158.80000000000001</v>
      </c>
      <c r="X299">
        <v>169.1</v>
      </c>
      <c r="Y299">
        <v>153.19999999999999</v>
      </c>
      <c r="Z299">
        <v>160</v>
      </c>
      <c r="AA299">
        <v>167.6</v>
      </c>
      <c r="AB299">
        <v>159.30000000000001</v>
      </c>
      <c r="AC299">
        <v>161.1</v>
      </c>
      <c r="AD299">
        <v>161.1</v>
      </c>
      <c r="AE299">
        <f t="shared" si="50"/>
        <v>158.69999999999999</v>
      </c>
      <c r="AF299" t="str">
        <f t="shared" si="49"/>
        <v>NA</v>
      </c>
      <c r="AG299">
        <f t="shared" si="51"/>
        <v>167.6</v>
      </c>
      <c r="AH299">
        <f t="shared" si="52"/>
        <v>161.69999999999999</v>
      </c>
      <c r="AI299">
        <f t="shared" si="53"/>
        <v>169.1</v>
      </c>
      <c r="AJ299">
        <f t="shared" si="53"/>
        <v>153.19999999999999</v>
      </c>
      <c r="AK299">
        <f t="shared" si="54"/>
        <v>161.9</v>
      </c>
      <c r="AL299">
        <f t="shared" si="55"/>
        <v>160</v>
      </c>
      <c r="AM299">
        <f t="shared" si="56"/>
        <v>189.6</v>
      </c>
      <c r="AN299">
        <f t="shared" si="57"/>
        <v>159.94999999999999</v>
      </c>
      <c r="AO299">
        <f t="shared" si="58"/>
        <v>164.63888888888886</v>
      </c>
    </row>
    <row r="300" spans="1:41" x14ac:dyDescent="0.45">
      <c r="A300" t="s">
        <v>33</v>
      </c>
      <c r="B300">
        <v>2021</v>
      </c>
      <c r="C300" t="s">
        <v>38</v>
      </c>
      <c r="D300">
        <v>161.6</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155.5</v>
      </c>
      <c r="W300">
        <v>150.1</v>
      </c>
      <c r="X300">
        <v>160.4</v>
      </c>
      <c r="Y300">
        <v>145</v>
      </c>
      <c r="Z300">
        <v>152.6</v>
      </c>
      <c r="AA300">
        <v>156.6</v>
      </c>
      <c r="AB300">
        <v>157.5</v>
      </c>
      <c r="AC300">
        <v>152.30000000000001</v>
      </c>
      <c r="AD300">
        <v>159.5</v>
      </c>
      <c r="AE300">
        <f t="shared" si="50"/>
        <v>164.2</v>
      </c>
      <c r="AF300">
        <f t="shared" si="49"/>
        <v>161.6</v>
      </c>
      <c r="AG300">
        <f t="shared" si="51"/>
        <v>156.6</v>
      </c>
      <c r="AH300">
        <f t="shared" si="52"/>
        <v>155.5</v>
      </c>
      <c r="AI300">
        <f t="shared" si="53"/>
        <v>160.4</v>
      </c>
      <c r="AJ300">
        <f t="shared" si="53"/>
        <v>145</v>
      </c>
      <c r="AK300">
        <f t="shared" si="54"/>
        <v>155.80000000000001</v>
      </c>
      <c r="AL300">
        <f t="shared" si="55"/>
        <v>152.6</v>
      </c>
      <c r="AM300">
        <f t="shared" si="56"/>
        <v>198.2</v>
      </c>
      <c r="AN300">
        <f t="shared" si="57"/>
        <v>151.19999999999999</v>
      </c>
      <c r="AO300">
        <f t="shared" si="58"/>
        <v>160.10999999999999</v>
      </c>
    </row>
    <row r="301" spans="1:41" x14ac:dyDescent="0.45">
      <c r="A301" t="s">
        <v>34</v>
      </c>
      <c r="B301">
        <v>2021</v>
      </c>
      <c r="C301" t="s">
        <v>38</v>
      </c>
      <c r="D301">
        <v>161.6</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159.4</v>
      </c>
      <c r="W301">
        <v>154.69999999999999</v>
      </c>
      <c r="X301">
        <v>165.8</v>
      </c>
      <c r="Y301">
        <v>148.9</v>
      </c>
      <c r="Z301">
        <v>155.80000000000001</v>
      </c>
      <c r="AA301">
        <v>161.19999999999999</v>
      </c>
      <c r="AB301">
        <v>158.6</v>
      </c>
      <c r="AC301">
        <v>156.80000000000001</v>
      </c>
      <c r="AD301">
        <v>160.4</v>
      </c>
      <c r="AE301">
        <f t="shared" si="50"/>
        <v>160.69999999999999</v>
      </c>
      <c r="AF301">
        <f t="shared" si="49"/>
        <v>161.6</v>
      </c>
      <c r="AG301">
        <f t="shared" si="51"/>
        <v>161.19999999999999</v>
      </c>
      <c r="AH301">
        <f t="shared" si="52"/>
        <v>159.4</v>
      </c>
      <c r="AI301">
        <f t="shared" si="53"/>
        <v>165.8</v>
      </c>
      <c r="AJ301">
        <f t="shared" si="53"/>
        <v>148.9</v>
      </c>
      <c r="AK301">
        <f t="shared" si="54"/>
        <v>159.5</v>
      </c>
      <c r="AL301">
        <f t="shared" si="55"/>
        <v>155.80000000000001</v>
      </c>
      <c r="AM301">
        <f t="shared" si="56"/>
        <v>191.9</v>
      </c>
      <c r="AN301">
        <f t="shared" si="57"/>
        <v>155.75</v>
      </c>
      <c r="AO301">
        <f t="shared" si="58"/>
        <v>162.05500000000001</v>
      </c>
    </row>
    <row r="302" spans="1:41" x14ac:dyDescent="0.45">
      <c r="A302" t="s">
        <v>30</v>
      </c>
      <c r="B302">
        <v>2021</v>
      </c>
      <c r="C302" t="s">
        <v>39</v>
      </c>
      <c r="D302" t="s">
        <v>32</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v>162.1</v>
      </c>
      <c r="W302">
        <v>159.19999999999999</v>
      </c>
      <c r="X302">
        <v>169.7</v>
      </c>
      <c r="Y302">
        <v>154.19999999999999</v>
      </c>
      <c r="Z302">
        <v>160.4</v>
      </c>
      <c r="AA302">
        <v>166.8</v>
      </c>
      <c r="AB302">
        <v>159.4</v>
      </c>
      <c r="AC302">
        <v>161.5</v>
      </c>
      <c r="AD302">
        <v>162.1</v>
      </c>
      <c r="AE302">
        <f t="shared" si="50"/>
        <v>160.5</v>
      </c>
      <c r="AF302" t="str">
        <f t="shared" si="49"/>
        <v>NA</v>
      </c>
      <c r="AG302">
        <f t="shared" si="51"/>
        <v>166.8</v>
      </c>
      <c r="AH302">
        <f t="shared" si="52"/>
        <v>162.1</v>
      </c>
      <c r="AI302">
        <f t="shared" si="53"/>
        <v>169.7</v>
      </c>
      <c r="AJ302">
        <f t="shared" si="53"/>
        <v>154.19999999999999</v>
      </c>
      <c r="AK302">
        <f t="shared" si="54"/>
        <v>162</v>
      </c>
      <c r="AL302">
        <f t="shared" si="55"/>
        <v>160.4</v>
      </c>
      <c r="AM302">
        <f t="shared" si="56"/>
        <v>189.1</v>
      </c>
      <c r="AN302">
        <f t="shared" si="57"/>
        <v>160.35</v>
      </c>
      <c r="AO302">
        <f t="shared" si="58"/>
        <v>165.01666666666665</v>
      </c>
    </row>
    <row r="303" spans="1:41" x14ac:dyDescent="0.45">
      <c r="A303" t="s">
        <v>33</v>
      </c>
      <c r="B303">
        <v>2021</v>
      </c>
      <c r="C303" t="s">
        <v>39</v>
      </c>
      <c r="D303">
        <v>160.5</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156.1</v>
      </c>
      <c r="W303">
        <v>149.80000000000001</v>
      </c>
      <c r="X303">
        <v>160.80000000000001</v>
      </c>
      <c r="Y303">
        <v>147.5</v>
      </c>
      <c r="Z303">
        <v>150.69999999999999</v>
      </c>
      <c r="AA303">
        <v>158.1</v>
      </c>
      <c r="AB303">
        <v>158</v>
      </c>
      <c r="AC303">
        <v>153.4</v>
      </c>
      <c r="AD303">
        <v>160.4</v>
      </c>
      <c r="AE303">
        <f t="shared" si="50"/>
        <v>166.2</v>
      </c>
      <c r="AF303">
        <f t="shared" si="49"/>
        <v>160.5</v>
      </c>
      <c r="AG303">
        <f t="shared" si="51"/>
        <v>158.1</v>
      </c>
      <c r="AH303">
        <f t="shared" si="52"/>
        <v>156.1</v>
      </c>
      <c r="AI303">
        <f t="shared" si="53"/>
        <v>160.80000000000001</v>
      </c>
      <c r="AJ303">
        <f t="shared" si="53"/>
        <v>147.5</v>
      </c>
      <c r="AK303">
        <f t="shared" si="54"/>
        <v>156.4</v>
      </c>
      <c r="AL303">
        <f t="shared" si="55"/>
        <v>150.69999999999999</v>
      </c>
      <c r="AM303">
        <f t="shared" si="56"/>
        <v>195.6</v>
      </c>
      <c r="AN303">
        <f t="shared" si="57"/>
        <v>151.60000000000002</v>
      </c>
      <c r="AO303">
        <f t="shared" si="58"/>
        <v>160.35</v>
      </c>
    </row>
    <row r="304" spans="1:41" x14ac:dyDescent="0.45">
      <c r="A304" t="s">
        <v>34</v>
      </c>
      <c r="B304">
        <v>2021</v>
      </c>
      <c r="C304" t="s">
        <v>39</v>
      </c>
      <c r="D304">
        <v>160.5</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159.80000000000001</v>
      </c>
      <c r="W304">
        <v>154.80000000000001</v>
      </c>
      <c r="X304">
        <v>166.3</v>
      </c>
      <c r="Y304">
        <v>150.69999999999999</v>
      </c>
      <c r="Z304">
        <v>154.9</v>
      </c>
      <c r="AA304">
        <v>161.69999999999999</v>
      </c>
      <c r="AB304">
        <v>158.80000000000001</v>
      </c>
      <c r="AC304">
        <v>157.6</v>
      </c>
      <c r="AD304">
        <v>161.30000000000001</v>
      </c>
      <c r="AE304">
        <f t="shared" si="50"/>
        <v>162.6</v>
      </c>
      <c r="AF304">
        <f t="shared" si="49"/>
        <v>160.5</v>
      </c>
      <c r="AG304">
        <f t="shared" si="51"/>
        <v>161.69999999999999</v>
      </c>
      <c r="AH304">
        <f t="shared" si="52"/>
        <v>159.80000000000001</v>
      </c>
      <c r="AI304">
        <f t="shared" si="53"/>
        <v>166.3</v>
      </c>
      <c r="AJ304">
        <f t="shared" si="53"/>
        <v>150.69999999999999</v>
      </c>
      <c r="AK304">
        <f t="shared" si="54"/>
        <v>159.75</v>
      </c>
      <c r="AL304">
        <f t="shared" si="55"/>
        <v>154.9</v>
      </c>
      <c r="AM304">
        <f t="shared" si="56"/>
        <v>190.8</v>
      </c>
      <c r="AN304">
        <f t="shared" si="57"/>
        <v>156.19999999999999</v>
      </c>
      <c r="AO304">
        <f t="shared" si="58"/>
        <v>162.32500000000002</v>
      </c>
    </row>
    <row r="305" spans="1:41" x14ac:dyDescent="0.45">
      <c r="A305" t="s">
        <v>30</v>
      </c>
      <c r="B305">
        <v>2021</v>
      </c>
      <c r="C305" t="s">
        <v>40</v>
      </c>
      <c r="D305" t="s">
        <v>32</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v>162.5</v>
      </c>
      <c r="W305">
        <v>160.30000000000001</v>
      </c>
      <c r="X305">
        <v>170.4</v>
      </c>
      <c r="Y305">
        <v>157.1</v>
      </c>
      <c r="Z305">
        <v>160.69999999999999</v>
      </c>
      <c r="AA305">
        <v>167.2</v>
      </c>
      <c r="AB305">
        <v>160.4</v>
      </c>
      <c r="AC305">
        <v>162.80000000000001</v>
      </c>
      <c r="AD305">
        <v>163.19999999999999</v>
      </c>
      <c r="AE305">
        <f t="shared" si="50"/>
        <v>161.69999999999999</v>
      </c>
      <c r="AF305" t="str">
        <f t="shared" si="49"/>
        <v>NA</v>
      </c>
      <c r="AG305">
        <f t="shared" si="51"/>
        <v>167.2</v>
      </c>
      <c r="AH305">
        <f t="shared" si="52"/>
        <v>162.5</v>
      </c>
      <c r="AI305">
        <f t="shared" si="53"/>
        <v>170.4</v>
      </c>
      <c r="AJ305">
        <f t="shared" si="53"/>
        <v>157.1</v>
      </c>
      <c r="AK305">
        <f t="shared" si="54"/>
        <v>162.85000000000002</v>
      </c>
      <c r="AL305">
        <f t="shared" si="55"/>
        <v>160.69999999999999</v>
      </c>
      <c r="AM305">
        <f t="shared" si="56"/>
        <v>189.7</v>
      </c>
      <c r="AN305">
        <f t="shared" si="57"/>
        <v>161.55000000000001</v>
      </c>
      <c r="AO305">
        <f t="shared" si="58"/>
        <v>165.96666666666667</v>
      </c>
    </row>
    <row r="306" spans="1:41" x14ac:dyDescent="0.45">
      <c r="A306" t="s">
        <v>33</v>
      </c>
      <c r="B306">
        <v>2021</v>
      </c>
      <c r="C306" t="s">
        <v>40</v>
      </c>
      <c r="D306">
        <v>161.5</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157.69999999999999</v>
      </c>
      <c r="W306">
        <v>150.69999999999999</v>
      </c>
      <c r="X306">
        <v>161.5</v>
      </c>
      <c r="Y306">
        <v>149.5</v>
      </c>
      <c r="Z306">
        <v>151.19999999999999</v>
      </c>
      <c r="AA306">
        <v>160.30000000000001</v>
      </c>
      <c r="AB306">
        <v>159.6</v>
      </c>
      <c r="AC306">
        <v>155</v>
      </c>
      <c r="AD306">
        <v>161.80000000000001</v>
      </c>
      <c r="AE306">
        <f t="shared" si="50"/>
        <v>167.9</v>
      </c>
      <c r="AF306">
        <f t="shared" si="49"/>
        <v>161.5</v>
      </c>
      <c r="AG306">
        <f t="shared" si="51"/>
        <v>160.30000000000001</v>
      </c>
      <c r="AH306">
        <f t="shared" si="52"/>
        <v>157.69999999999999</v>
      </c>
      <c r="AI306">
        <f t="shared" si="53"/>
        <v>161.5</v>
      </c>
      <c r="AJ306">
        <f t="shared" si="53"/>
        <v>149.5</v>
      </c>
      <c r="AK306">
        <f t="shared" si="54"/>
        <v>157.55000000000001</v>
      </c>
      <c r="AL306">
        <f t="shared" si="55"/>
        <v>151.19999999999999</v>
      </c>
      <c r="AM306">
        <f t="shared" si="56"/>
        <v>195.5</v>
      </c>
      <c r="AN306">
        <f t="shared" si="57"/>
        <v>152.85</v>
      </c>
      <c r="AO306">
        <f t="shared" si="58"/>
        <v>161.55000000000001</v>
      </c>
    </row>
    <row r="307" spans="1:41" x14ac:dyDescent="0.45">
      <c r="A307" t="s">
        <v>34</v>
      </c>
      <c r="B307">
        <v>2021</v>
      </c>
      <c r="C307" t="s">
        <v>40</v>
      </c>
      <c r="D307">
        <v>161.5</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160.69999999999999</v>
      </c>
      <c r="W307">
        <v>155.80000000000001</v>
      </c>
      <c r="X307">
        <v>167</v>
      </c>
      <c r="Y307">
        <v>153.1</v>
      </c>
      <c r="Z307">
        <v>155.30000000000001</v>
      </c>
      <c r="AA307">
        <v>163.19999999999999</v>
      </c>
      <c r="AB307">
        <v>160.1</v>
      </c>
      <c r="AC307">
        <v>159</v>
      </c>
      <c r="AD307">
        <v>162.5</v>
      </c>
      <c r="AE307">
        <f t="shared" si="50"/>
        <v>164</v>
      </c>
      <c r="AF307">
        <f t="shared" si="49"/>
        <v>161.5</v>
      </c>
      <c r="AG307">
        <f t="shared" si="51"/>
        <v>163.19999999999999</v>
      </c>
      <c r="AH307">
        <f t="shared" si="52"/>
        <v>160.69999999999999</v>
      </c>
      <c r="AI307">
        <f t="shared" si="53"/>
        <v>167</v>
      </c>
      <c r="AJ307">
        <f t="shared" si="53"/>
        <v>153.1</v>
      </c>
      <c r="AK307">
        <f t="shared" si="54"/>
        <v>160.75</v>
      </c>
      <c r="AL307">
        <f t="shared" si="55"/>
        <v>155.30000000000001</v>
      </c>
      <c r="AM307">
        <f t="shared" si="56"/>
        <v>191.2</v>
      </c>
      <c r="AN307">
        <f t="shared" si="57"/>
        <v>157.4</v>
      </c>
      <c r="AO307">
        <f t="shared" si="58"/>
        <v>163.41500000000002</v>
      </c>
    </row>
    <row r="308" spans="1:41" x14ac:dyDescent="0.45">
      <c r="A308" t="s">
        <v>30</v>
      </c>
      <c r="B308">
        <v>2021</v>
      </c>
      <c r="C308" t="s">
        <v>41</v>
      </c>
      <c r="D308" t="s">
        <v>32</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v>163.1</v>
      </c>
      <c r="W308">
        <v>160.9</v>
      </c>
      <c r="X308">
        <v>171.1</v>
      </c>
      <c r="Y308">
        <v>157.69999999999999</v>
      </c>
      <c r="Z308">
        <v>161.1</v>
      </c>
      <c r="AA308">
        <v>167.5</v>
      </c>
      <c r="AB308">
        <v>160.30000000000001</v>
      </c>
      <c r="AC308">
        <v>163.30000000000001</v>
      </c>
      <c r="AD308">
        <v>163.6</v>
      </c>
      <c r="AE308">
        <f t="shared" si="50"/>
        <v>161.80000000000001</v>
      </c>
      <c r="AF308" t="str">
        <f t="shared" si="49"/>
        <v>NA</v>
      </c>
      <c r="AG308">
        <f t="shared" si="51"/>
        <v>167.5</v>
      </c>
      <c r="AH308">
        <f t="shared" si="52"/>
        <v>163.1</v>
      </c>
      <c r="AI308">
        <f t="shared" si="53"/>
        <v>171.1</v>
      </c>
      <c r="AJ308">
        <f t="shared" si="53"/>
        <v>157.69999999999999</v>
      </c>
      <c r="AK308">
        <f t="shared" si="54"/>
        <v>163.30000000000001</v>
      </c>
      <c r="AL308">
        <f t="shared" si="55"/>
        <v>161.1</v>
      </c>
      <c r="AM308">
        <f t="shared" si="56"/>
        <v>190.2</v>
      </c>
      <c r="AN308">
        <f t="shared" si="57"/>
        <v>162.10000000000002</v>
      </c>
      <c r="AO308">
        <f t="shared" si="58"/>
        <v>166.43333333333334</v>
      </c>
    </row>
    <row r="309" spans="1:41" x14ac:dyDescent="0.45">
      <c r="A309" t="s">
        <v>33</v>
      </c>
      <c r="B309">
        <v>2021</v>
      </c>
      <c r="C309" t="s">
        <v>41</v>
      </c>
      <c r="D309">
        <v>162.1</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160.69999999999999</v>
      </c>
      <c r="W309">
        <v>153.19999999999999</v>
      </c>
      <c r="X309">
        <v>162.80000000000001</v>
      </c>
      <c r="Y309">
        <v>150.4</v>
      </c>
      <c r="Z309">
        <v>153.69999999999999</v>
      </c>
      <c r="AA309">
        <v>160.4</v>
      </c>
      <c r="AB309">
        <v>159.6</v>
      </c>
      <c r="AC309">
        <v>156</v>
      </c>
      <c r="AD309">
        <v>162.30000000000001</v>
      </c>
      <c r="AE309">
        <f t="shared" si="50"/>
        <v>167.3</v>
      </c>
      <c r="AF309">
        <f t="shared" si="49"/>
        <v>162.1</v>
      </c>
      <c r="AG309">
        <f t="shared" si="51"/>
        <v>160.4</v>
      </c>
      <c r="AH309">
        <f t="shared" si="52"/>
        <v>160.69999999999999</v>
      </c>
      <c r="AI309">
        <f t="shared" si="53"/>
        <v>162.80000000000001</v>
      </c>
      <c r="AJ309">
        <f t="shared" si="53"/>
        <v>150.4</v>
      </c>
      <c r="AK309">
        <f t="shared" si="54"/>
        <v>158.44999999999999</v>
      </c>
      <c r="AL309">
        <f t="shared" si="55"/>
        <v>153.69999999999999</v>
      </c>
      <c r="AM309">
        <f t="shared" si="56"/>
        <v>196.5</v>
      </c>
      <c r="AN309">
        <f t="shared" si="57"/>
        <v>154.6</v>
      </c>
      <c r="AO309">
        <f t="shared" si="58"/>
        <v>162.69499999999999</v>
      </c>
    </row>
    <row r="310" spans="1:41" x14ac:dyDescent="0.45">
      <c r="A310" t="s">
        <v>34</v>
      </c>
      <c r="B310">
        <v>2021</v>
      </c>
      <c r="C310" t="s">
        <v>41</v>
      </c>
      <c r="D310">
        <v>162.1</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162.6</v>
      </c>
      <c r="W310">
        <v>157.5</v>
      </c>
      <c r="X310">
        <v>168.4</v>
      </c>
      <c r="Y310">
        <v>154</v>
      </c>
      <c r="Z310">
        <v>157.6</v>
      </c>
      <c r="AA310">
        <v>163.80000000000001</v>
      </c>
      <c r="AB310">
        <v>160</v>
      </c>
      <c r="AC310">
        <v>160</v>
      </c>
      <c r="AD310">
        <v>163.19999999999999</v>
      </c>
      <c r="AE310">
        <f t="shared" si="50"/>
        <v>164</v>
      </c>
      <c r="AF310">
        <f t="shared" si="49"/>
        <v>162.1</v>
      </c>
      <c r="AG310">
        <f t="shared" si="51"/>
        <v>163.80000000000001</v>
      </c>
      <c r="AH310">
        <f t="shared" si="52"/>
        <v>162.6</v>
      </c>
      <c r="AI310">
        <f t="shared" si="53"/>
        <v>168.4</v>
      </c>
      <c r="AJ310">
        <f t="shared" si="53"/>
        <v>154</v>
      </c>
      <c r="AK310">
        <f t="shared" si="54"/>
        <v>161.6</v>
      </c>
      <c r="AL310">
        <f t="shared" si="55"/>
        <v>157.6</v>
      </c>
      <c r="AM310">
        <f t="shared" si="56"/>
        <v>192.1</v>
      </c>
      <c r="AN310">
        <f t="shared" si="57"/>
        <v>158.75</v>
      </c>
      <c r="AO310">
        <f t="shared" si="58"/>
        <v>164.49499999999998</v>
      </c>
    </row>
    <row r="311" spans="1:41" x14ac:dyDescent="0.45">
      <c r="A311" t="s">
        <v>30</v>
      </c>
      <c r="B311">
        <v>2021</v>
      </c>
      <c r="C311" t="s">
        <v>42</v>
      </c>
      <c r="D311" t="s">
        <v>32</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v>163.69999999999999</v>
      </c>
      <c r="W311">
        <v>161.30000000000001</v>
      </c>
      <c r="X311">
        <v>171.9</v>
      </c>
      <c r="Y311">
        <v>157.80000000000001</v>
      </c>
      <c r="Z311">
        <v>162.69999999999999</v>
      </c>
      <c r="AA311">
        <v>168.5</v>
      </c>
      <c r="AB311">
        <v>160.19999999999999</v>
      </c>
      <c r="AC311">
        <v>163.80000000000001</v>
      </c>
      <c r="AD311">
        <v>164</v>
      </c>
      <c r="AE311">
        <f t="shared" si="50"/>
        <v>162.1</v>
      </c>
      <c r="AF311" t="str">
        <f t="shared" si="49"/>
        <v>NA</v>
      </c>
      <c r="AG311">
        <f t="shared" si="51"/>
        <v>168.5</v>
      </c>
      <c r="AH311">
        <f t="shared" si="52"/>
        <v>163.69999999999999</v>
      </c>
      <c r="AI311">
        <f t="shared" si="53"/>
        <v>171.9</v>
      </c>
      <c r="AJ311">
        <f t="shared" si="53"/>
        <v>157.80000000000001</v>
      </c>
      <c r="AK311">
        <f t="shared" si="54"/>
        <v>163.64999999999998</v>
      </c>
      <c r="AL311">
        <f t="shared" si="55"/>
        <v>162.69999999999999</v>
      </c>
      <c r="AM311">
        <f t="shared" si="56"/>
        <v>190.5</v>
      </c>
      <c r="AN311">
        <f t="shared" si="57"/>
        <v>162.55000000000001</v>
      </c>
      <c r="AO311">
        <f t="shared" si="58"/>
        <v>167.04444444444442</v>
      </c>
    </row>
    <row r="312" spans="1:41" x14ac:dyDescent="0.45">
      <c r="A312" t="s">
        <v>33</v>
      </c>
      <c r="B312">
        <v>2021</v>
      </c>
      <c r="C312" t="s">
        <v>42</v>
      </c>
      <c r="D312">
        <v>162.1</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160.80000000000001</v>
      </c>
      <c r="W312">
        <v>153.30000000000001</v>
      </c>
      <c r="X312">
        <v>162.80000000000001</v>
      </c>
      <c r="Y312">
        <v>150.5</v>
      </c>
      <c r="Z312">
        <v>153.9</v>
      </c>
      <c r="AA312">
        <v>160.30000000000001</v>
      </c>
      <c r="AB312">
        <v>159.6</v>
      </c>
      <c r="AC312">
        <v>156</v>
      </c>
      <c r="AD312">
        <v>162.30000000000001</v>
      </c>
      <c r="AE312">
        <f t="shared" si="50"/>
        <v>167.3</v>
      </c>
      <c r="AF312">
        <f t="shared" si="49"/>
        <v>162.1</v>
      </c>
      <c r="AG312">
        <f t="shared" si="51"/>
        <v>160.30000000000001</v>
      </c>
      <c r="AH312">
        <f t="shared" si="52"/>
        <v>160.80000000000001</v>
      </c>
      <c r="AI312">
        <f t="shared" si="53"/>
        <v>162.80000000000001</v>
      </c>
      <c r="AJ312">
        <f t="shared" si="53"/>
        <v>150.5</v>
      </c>
      <c r="AK312">
        <f t="shared" si="54"/>
        <v>158.5</v>
      </c>
      <c r="AL312">
        <f t="shared" si="55"/>
        <v>153.9</v>
      </c>
      <c r="AM312">
        <f t="shared" si="56"/>
        <v>196.5</v>
      </c>
      <c r="AN312">
        <f t="shared" si="57"/>
        <v>154.65</v>
      </c>
      <c r="AO312">
        <f t="shared" si="58"/>
        <v>162.73500000000001</v>
      </c>
    </row>
    <row r="313" spans="1:41" x14ac:dyDescent="0.45">
      <c r="A313" t="s">
        <v>34</v>
      </c>
      <c r="B313">
        <v>2021</v>
      </c>
      <c r="C313" t="s">
        <v>42</v>
      </c>
      <c r="D313">
        <v>162.1</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162.6</v>
      </c>
      <c r="W313">
        <v>157.5</v>
      </c>
      <c r="X313">
        <v>168.4</v>
      </c>
      <c r="Y313">
        <v>154</v>
      </c>
      <c r="Z313">
        <v>157.69999999999999</v>
      </c>
      <c r="AA313">
        <v>163.69999999999999</v>
      </c>
      <c r="AB313">
        <v>160</v>
      </c>
      <c r="AC313">
        <v>160</v>
      </c>
      <c r="AD313">
        <v>163.19999999999999</v>
      </c>
      <c r="AE313">
        <f t="shared" si="50"/>
        <v>164</v>
      </c>
      <c r="AF313">
        <f t="shared" si="49"/>
        <v>162.1</v>
      </c>
      <c r="AG313">
        <f t="shared" si="51"/>
        <v>163.69999999999999</v>
      </c>
      <c r="AH313">
        <f t="shared" si="52"/>
        <v>162.6</v>
      </c>
      <c r="AI313">
        <f t="shared" si="53"/>
        <v>168.4</v>
      </c>
      <c r="AJ313">
        <f t="shared" si="53"/>
        <v>154</v>
      </c>
      <c r="AK313">
        <f t="shared" si="54"/>
        <v>161.65</v>
      </c>
      <c r="AL313">
        <f t="shared" si="55"/>
        <v>157.69999999999999</v>
      </c>
      <c r="AM313">
        <f t="shared" si="56"/>
        <v>192.1</v>
      </c>
      <c r="AN313">
        <f t="shared" si="57"/>
        <v>158.75</v>
      </c>
      <c r="AO313">
        <f t="shared" si="58"/>
        <v>164.5</v>
      </c>
    </row>
    <row r="314" spans="1:41" x14ac:dyDescent="0.45">
      <c r="A314" t="s">
        <v>30</v>
      </c>
      <c r="B314">
        <v>2021</v>
      </c>
      <c r="C314" t="s">
        <v>43</v>
      </c>
      <c r="D314" t="s">
        <v>32</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v>165.5</v>
      </c>
      <c r="W314">
        <v>162</v>
      </c>
      <c r="X314">
        <v>172.5</v>
      </c>
      <c r="Y314">
        <v>159.5</v>
      </c>
      <c r="Z314">
        <v>163.19999999999999</v>
      </c>
      <c r="AA314">
        <v>169</v>
      </c>
      <c r="AB314">
        <v>161.1</v>
      </c>
      <c r="AC314">
        <v>164.7</v>
      </c>
      <c r="AD314">
        <v>166.3</v>
      </c>
      <c r="AE314">
        <f t="shared" si="50"/>
        <v>165.5</v>
      </c>
      <c r="AF314" t="str">
        <f t="shared" si="49"/>
        <v>NA</v>
      </c>
      <c r="AG314">
        <f t="shared" si="51"/>
        <v>169</v>
      </c>
      <c r="AH314">
        <f t="shared" si="52"/>
        <v>165.5</v>
      </c>
      <c r="AI314">
        <f t="shared" si="53"/>
        <v>172.5</v>
      </c>
      <c r="AJ314">
        <f t="shared" si="53"/>
        <v>159.5</v>
      </c>
      <c r="AK314">
        <f t="shared" si="54"/>
        <v>164.7</v>
      </c>
      <c r="AL314">
        <f t="shared" si="55"/>
        <v>163.19999999999999</v>
      </c>
      <c r="AM314">
        <f t="shared" si="56"/>
        <v>191.2</v>
      </c>
      <c r="AN314">
        <f t="shared" si="57"/>
        <v>163.35</v>
      </c>
      <c r="AO314">
        <f t="shared" si="58"/>
        <v>168.27222222222224</v>
      </c>
    </row>
    <row r="315" spans="1:41" x14ac:dyDescent="0.45">
      <c r="A315" t="s">
        <v>33</v>
      </c>
      <c r="B315">
        <v>2021</v>
      </c>
      <c r="C315" t="s">
        <v>43</v>
      </c>
      <c r="D315">
        <v>163.6</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162.19999999999999</v>
      </c>
      <c r="W315">
        <v>154.30000000000001</v>
      </c>
      <c r="X315">
        <v>163.5</v>
      </c>
      <c r="Y315">
        <v>152.19999999999999</v>
      </c>
      <c r="Z315">
        <v>155.1</v>
      </c>
      <c r="AA315">
        <v>160.30000000000001</v>
      </c>
      <c r="AB315">
        <v>160.30000000000001</v>
      </c>
      <c r="AC315">
        <v>157</v>
      </c>
      <c r="AD315">
        <v>164.6</v>
      </c>
      <c r="AE315">
        <f t="shared" si="50"/>
        <v>171.5</v>
      </c>
      <c r="AF315">
        <f t="shared" si="49"/>
        <v>163.6</v>
      </c>
      <c r="AG315">
        <f t="shared" si="51"/>
        <v>160.30000000000001</v>
      </c>
      <c r="AH315">
        <f t="shared" si="52"/>
        <v>162.19999999999999</v>
      </c>
      <c r="AI315">
        <f t="shared" si="53"/>
        <v>163.5</v>
      </c>
      <c r="AJ315">
        <f t="shared" si="53"/>
        <v>152.19999999999999</v>
      </c>
      <c r="AK315">
        <f t="shared" si="54"/>
        <v>159.30000000000001</v>
      </c>
      <c r="AL315">
        <f t="shared" si="55"/>
        <v>155.1</v>
      </c>
      <c r="AM315">
        <f t="shared" si="56"/>
        <v>197</v>
      </c>
      <c r="AN315">
        <f t="shared" si="57"/>
        <v>155.65</v>
      </c>
      <c r="AO315">
        <f t="shared" si="58"/>
        <v>164.035</v>
      </c>
    </row>
    <row r="316" spans="1:41" x14ac:dyDescent="0.45">
      <c r="A316" t="s">
        <v>34</v>
      </c>
      <c r="B316">
        <v>2021</v>
      </c>
      <c r="C316" t="s">
        <v>43</v>
      </c>
      <c r="D316">
        <v>163.6</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164.2</v>
      </c>
      <c r="W316">
        <v>158.4</v>
      </c>
      <c r="X316">
        <v>169.1</v>
      </c>
      <c r="Y316">
        <v>155.69999999999999</v>
      </c>
      <c r="Z316">
        <v>158.6</v>
      </c>
      <c r="AA316">
        <v>163.9</v>
      </c>
      <c r="AB316">
        <v>160.80000000000001</v>
      </c>
      <c r="AC316">
        <v>161</v>
      </c>
      <c r="AD316">
        <v>165.5</v>
      </c>
      <c r="AE316">
        <f t="shared" si="50"/>
        <v>167.7</v>
      </c>
      <c r="AF316">
        <f t="shared" si="49"/>
        <v>163.6</v>
      </c>
      <c r="AG316">
        <f t="shared" si="51"/>
        <v>163.9</v>
      </c>
      <c r="AH316">
        <f t="shared" si="52"/>
        <v>164.2</v>
      </c>
      <c r="AI316">
        <f t="shared" si="53"/>
        <v>169.1</v>
      </c>
      <c r="AJ316">
        <f t="shared" si="53"/>
        <v>155.69999999999999</v>
      </c>
      <c r="AK316">
        <f t="shared" si="54"/>
        <v>162.55000000000001</v>
      </c>
      <c r="AL316">
        <f t="shared" si="55"/>
        <v>158.6</v>
      </c>
      <c r="AM316">
        <f t="shared" si="56"/>
        <v>192.7</v>
      </c>
      <c r="AN316">
        <f t="shared" si="57"/>
        <v>159.69999999999999</v>
      </c>
      <c r="AO316">
        <f t="shared" si="58"/>
        <v>165.77499999999998</v>
      </c>
    </row>
    <row r="317" spans="1:41" x14ac:dyDescent="0.45">
      <c r="A317" t="s">
        <v>30</v>
      </c>
      <c r="B317">
        <v>2021</v>
      </c>
      <c r="C317" t="s">
        <v>45</v>
      </c>
      <c r="D317" t="s">
        <v>32</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v>165.3</v>
      </c>
      <c r="W317">
        <v>162.9</v>
      </c>
      <c r="X317">
        <v>173.4</v>
      </c>
      <c r="Y317">
        <v>158.9</v>
      </c>
      <c r="Z317">
        <v>163.80000000000001</v>
      </c>
      <c r="AA317">
        <v>169.3</v>
      </c>
      <c r="AB317">
        <v>162.4</v>
      </c>
      <c r="AC317">
        <v>165.2</v>
      </c>
      <c r="AD317">
        <v>167.6</v>
      </c>
      <c r="AE317">
        <f t="shared" si="50"/>
        <v>167.5</v>
      </c>
      <c r="AF317" t="str">
        <f t="shared" si="49"/>
        <v>NA</v>
      </c>
      <c r="AG317">
        <f t="shared" si="51"/>
        <v>169.3</v>
      </c>
      <c r="AH317">
        <f t="shared" si="52"/>
        <v>165.3</v>
      </c>
      <c r="AI317">
        <f t="shared" si="53"/>
        <v>173.4</v>
      </c>
      <c r="AJ317">
        <f t="shared" si="53"/>
        <v>158.9</v>
      </c>
      <c r="AK317">
        <f t="shared" si="54"/>
        <v>166.10000000000002</v>
      </c>
      <c r="AL317">
        <f t="shared" si="55"/>
        <v>163.80000000000001</v>
      </c>
      <c r="AM317">
        <f t="shared" si="56"/>
        <v>191.4</v>
      </c>
      <c r="AN317">
        <f t="shared" si="57"/>
        <v>164.05</v>
      </c>
      <c r="AO317">
        <f t="shared" si="58"/>
        <v>168.86111111111111</v>
      </c>
    </row>
    <row r="318" spans="1:41" x14ac:dyDescent="0.45">
      <c r="A318" t="s">
        <v>33</v>
      </c>
      <c r="B318">
        <v>2021</v>
      </c>
      <c r="C318" t="s">
        <v>45</v>
      </c>
      <c r="D318">
        <v>164.2</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161.6</v>
      </c>
      <c r="W318">
        <v>155.19999999999999</v>
      </c>
      <c r="X318">
        <v>164.2</v>
      </c>
      <c r="Y318">
        <v>151.19999999999999</v>
      </c>
      <c r="Z318">
        <v>156.69999999999999</v>
      </c>
      <c r="AA318">
        <v>160.80000000000001</v>
      </c>
      <c r="AB318">
        <v>161.80000000000001</v>
      </c>
      <c r="AC318">
        <v>157.30000000000001</v>
      </c>
      <c r="AD318">
        <v>165.6</v>
      </c>
      <c r="AE318">
        <f t="shared" si="50"/>
        <v>173.5</v>
      </c>
      <c r="AF318">
        <f t="shared" si="49"/>
        <v>164.2</v>
      </c>
      <c r="AG318">
        <f t="shared" si="51"/>
        <v>160.80000000000001</v>
      </c>
      <c r="AH318">
        <f t="shared" si="52"/>
        <v>161.6</v>
      </c>
      <c r="AI318">
        <f t="shared" si="53"/>
        <v>164.2</v>
      </c>
      <c r="AJ318">
        <f t="shared" si="53"/>
        <v>151.19999999999999</v>
      </c>
      <c r="AK318">
        <f t="shared" si="54"/>
        <v>160.75</v>
      </c>
      <c r="AL318">
        <f t="shared" si="55"/>
        <v>156.69999999999999</v>
      </c>
      <c r="AM318">
        <f t="shared" si="56"/>
        <v>197</v>
      </c>
      <c r="AN318">
        <f t="shared" si="57"/>
        <v>156.25</v>
      </c>
      <c r="AO318">
        <f t="shared" si="58"/>
        <v>164.62</v>
      </c>
    </row>
    <row r="319" spans="1:41" x14ac:dyDescent="0.45">
      <c r="A319" t="s">
        <v>34</v>
      </c>
      <c r="B319">
        <v>2021</v>
      </c>
      <c r="C319" t="s">
        <v>45</v>
      </c>
      <c r="D319">
        <v>164.2</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163.9</v>
      </c>
      <c r="W319">
        <v>159.30000000000001</v>
      </c>
      <c r="X319">
        <v>169.9</v>
      </c>
      <c r="Y319">
        <v>154.80000000000001</v>
      </c>
      <c r="Z319">
        <v>159.80000000000001</v>
      </c>
      <c r="AA319">
        <v>164.3</v>
      </c>
      <c r="AB319">
        <v>162.19999999999999</v>
      </c>
      <c r="AC319">
        <v>161.4</v>
      </c>
      <c r="AD319">
        <v>166.7</v>
      </c>
      <c r="AE319">
        <f t="shared" si="50"/>
        <v>169.7</v>
      </c>
      <c r="AF319">
        <f t="shared" si="49"/>
        <v>164.2</v>
      </c>
      <c r="AG319">
        <f t="shared" si="51"/>
        <v>164.3</v>
      </c>
      <c r="AH319">
        <f t="shared" si="52"/>
        <v>163.9</v>
      </c>
      <c r="AI319">
        <f t="shared" si="53"/>
        <v>169.9</v>
      </c>
      <c r="AJ319">
        <f t="shared" si="53"/>
        <v>154.80000000000001</v>
      </c>
      <c r="AK319">
        <f t="shared" si="54"/>
        <v>164</v>
      </c>
      <c r="AL319">
        <f t="shared" si="55"/>
        <v>159.80000000000001</v>
      </c>
      <c r="AM319">
        <f t="shared" si="56"/>
        <v>192.9</v>
      </c>
      <c r="AN319">
        <f t="shared" si="57"/>
        <v>160.35000000000002</v>
      </c>
      <c r="AO319">
        <f t="shared" si="58"/>
        <v>166.38499999999999</v>
      </c>
    </row>
    <row r="320" spans="1:41" x14ac:dyDescent="0.45">
      <c r="A320" t="s">
        <v>30</v>
      </c>
      <c r="B320">
        <v>2021</v>
      </c>
      <c r="C320" t="s">
        <v>46</v>
      </c>
      <c r="D320" t="s">
        <v>32</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v>165.6</v>
      </c>
      <c r="W320">
        <v>163.9</v>
      </c>
      <c r="X320">
        <v>174</v>
      </c>
      <c r="Y320">
        <v>160.1</v>
      </c>
      <c r="Z320">
        <v>164.5</v>
      </c>
      <c r="AA320">
        <v>169.7</v>
      </c>
      <c r="AB320">
        <v>162.80000000000001</v>
      </c>
      <c r="AC320">
        <v>166</v>
      </c>
      <c r="AD320">
        <v>167</v>
      </c>
      <c r="AE320">
        <f t="shared" si="50"/>
        <v>165.8</v>
      </c>
      <c r="AF320" t="str">
        <f t="shared" si="49"/>
        <v>NA</v>
      </c>
      <c r="AG320">
        <f t="shared" si="51"/>
        <v>169.7</v>
      </c>
      <c r="AH320">
        <f t="shared" si="52"/>
        <v>165.6</v>
      </c>
      <c r="AI320">
        <f t="shared" si="53"/>
        <v>174</v>
      </c>
      <c r="AJ320">
        <f t="shared" si="53"/>
        <v>160.1</v>
      </c>
      <c r="AK320">
        <f t="shared" si="54"/>
        <v>167</v>
      </c>
      <c r="AL320">
        <f t="shared" si="55"/>
        <v>164.5</v>
      </c>
      <c r="AM320">
        <f t="shared" si="56"/>
        <v>190.8</v>
      </c>
      <c r="AN320">
        <f t="shared" si="57"/>
        <v>164.95</v>
      </c>
      <c r="AO320">
        <f t="shared" si="58"/>
        <v>169.16111111111113</v>
      </c>
    </row>
    <row r="321" spans="1:41" x14ac:dyDescent="0.45">
      <c r="A321" t="s">
        <v>33</v>
      </c>
      <c r="B321">
        <v>2021</v>
      </c>
      <c r="C321" t="s">
        <v>46</v>
      </c>
      <c r="D321">
        <v>163.4</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161.69999999999999</v>
      </c>
      <c r="W321">
        <v>156</v>
      </c>
      <c r="X321">
        <v>165.1</v>
      </c>
      <c r="Y321">
        <v>151.80000000000001</v>
      </c>
      <c r="Z321">
        <v>157.6</v>
      </c>
      <c r="AA321">
        <v>160.6</v>
      </c>
      <c r="AB321">
        <v>162.4</v>
      </c>
      <c r="AC321">
        <v>157.80000000000001</v>
      </c>
      <c r="AD321">
        <v>165.2</v>
      </c>
      <c r="AE321">
        <f t="shared" si="50"/>
        <v>172.2</v>
      </c>
      <c r="AF321">
        <f t="shared" si="49"/>
        <v>163.4</v>
      </c>
      <c r="AG321">
        <f t="shared" si="51"/>
        <v>160.6</v>
      </c>
      <c r="AH321">
        <f t="shared" si="52"/>
        <v>161.69999999999999</v>
      </c>
      <c r="AI321">
        <f t="shared" si="53"/>
        <v>165.1</v>
      </c>
      <c r="AJ321">
        <f t="shared" si="53"/>
        <v>151.80000000000001</v>
      </c>
      <c r="AK321">
        <f t="shared" si="54"/>
        <v>161.55000000000001</v>
      </c>
      <c r="AL321">
        <f t="shared" si="55"/>
        <v>157.6</v>
      </c>
      <c r="AM321">
        <f t="shared" si="56"/>
        <v>196.8</v>
      </c>
      <c r="AN321">
        <f t="shared" si="57"/>
        <v>156.9</v>
      </c>
      <c r="AO321">
        <f t="shared" si="58"/>
        <v>164.76500000000001</v>
      </c>
    </row>
    <row r="322" spans="1:41" x14ac:dyDescent="0.45">
      <c r="A322" t="s">
        <v>34</v>
      </c>
      <c r="B322">
        <v>2021</v>
      </c>
      <c r="C322" t="s">
        <v>46</v>
      </c>
      <c r="D322">
        <v>163.4</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164.1</v>
      </c>
      <c r="W322">
        <v>160.19999999999999</v>
      </c>
      <c r="X322">
        <v>170.6</v>
      </c>
      <c r="Y322">
        <v>155.69999999999999</v>
      </c>
      <c r="Z322">
        <v>160.6</v>
      </c>
      <c r="AA322">
        <v>164.4</v>
      </c>
      <c r="AB322">
        <v>162.6</v>
      </c>
      <c r="AC322">
        <v>162</v>
      </c>
      <c r="AD322">
        <v>166.2</v>
      </c>
      <c r="AE322">
        <f t="shared" si="50"/>
        <v>168.2</v>
      </c>
      <c r="AF322">
        <f t="shared" ref="AF322:AF373" si="84">D322</f>
        <v>163.4</v>
      </c>
      <c r="AG322">
        <f t="shared" si="51"/>
        <v>164.4</v>
      </c>
      <c r="AH322">
        <f t="shared" si="52"/>
        <v>164.1</v>
      </c>
      <c r="AI322">
        <f t="shared" si="53"/>
        <v>170.6</v>
      </c>
      <c r="AJ322">
        <f t="shared" si="53"/>
        <v>155.69999999999999</v>
      </c>
      <c r="AK322">
        <f t="shared" si="54"/>
        <v>164.8</v>
      </c>
      <c r="AL322">
        <f t="shared" si="55"/>
        <v>160.6</v>
      </c>
      <c r="AM322">
        <f t="shared" si="56"/>
        <v>192.4</v>
      </c>
      <c r="AN322">
        <f t="shared" si="57"/>
        <v>161.1</v>
      </c>
      <c r="AO322">
        <f t="shared" si="58"/>
        <v>166.53</v>
      </c>
    </row>
    <row r="323" spans="1:41" x14ac:dyDescent="0.45">
      <c r="A323" t="s">
        <v>30</v>
      </c>
      <c r="B323">
        <v>2022</v>
      </c>
      <c r="C323" t="s">
        <v>31</v>
      </c>
      <c r="D323" t="s">
        <v>32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v>165.8</v>
      </c>
      <c r="W323">
        <v>164.9</v>
      </c>
      <c r="X323">
        <v>174.7</v>
      </c>
      <c r="Y323">
        <v>160.80000000000001</v>
      </c>
      <c r="Z323">
        <v>164.9</v>
      </c>
      <c r="AA323">
        <v>169.9</v>
      </c>
      <c r="AB323">
        <v>163.19999999999999</v>
      </c>
      <c r="AC323">
        <v>166.6</v>
      </c>
      <c r="AD323">
        <v>166.4</v>
      </c>
      <c r="AE323">
        <f t="shared" ref="AE323:AE373" si="85">Q323</f>
        <v>164.1</v>
      </c>
      <c r="AF323" t="str">
        <f t="shared" si="84"/>
        <v>NA</v>
      </c>
      <c r="AG323">
        <f t="shared" ref="AG323:AG373" si="86">AA323</f>
        <v>169.9</v>
      </c>
      <c r="AH323">
        <f t="shared" ref="AH323:AH373" si="87">V323</f>
        <v>165.8</v>
      </c>
      <c r="AI323">
        <f t="shared" ref="AI323:AJ373" si="88">X323</f>
        <v>174.7</v>
      </c>
      <c r="AJ323">
        <f t="shared" si="88"/>
        <v>160.80000000000001</v>
      </c>
      <c r="AK323">
        <f t="shared" ref="AK323:AK373" si="89">AVERAGE(U323,AB323)</f>
        <v>167.95</v>
      </c>
      <c r="AL323">
        <f t="shared" ref="AL323:AL373" si="90">Z323</f>
        <v>164.9</v>
      </c>
      <c r="AM323">
        <f t="shared" ref="AM323:AM373" si="91">R323</f>
        <v>190.7</v>
      </c>
      <c r="AN323">
        <f t="shared" ref="AN323:AN373" si="92">AVERAGE(W323,AC323)</f>
        <v>165.75</v>
      </c>
      <c r="AO323">
        <f t="shared" ref="AO323:AO373" si="93">AVERAGE(AE323:AN323)</f>
        <v>169.4</v>
      </c>
    </row>
    <row r="324" spans="1:41" x14ac:dyDescent="0.45">
      <c r="A324" t="s">
        <v>33</v>
      </c>
      <c r="B324">
        <v>2022</v>
      </c>
      <c r="C324" t="s">
        <v>31</v>
      </c>
      <c r="D324">
        <v>164.5</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161.6</v>
      </c>
      <c r="W324">
        <v>156.80000000000001</v>
      </c>
      <c r="X324">
        <v>166.1</v>
      </c>
      <c r="Y324">
        <v>152.69999999999999</v>
      </c>
      <c r="Z324">
        <v>158.4</v>
      </c>
      <c r="AA324">
        <v>161</v>
      </c>
      <c r="AB324">
        <v>162.80000000000001</v>
      </c>
      <c r="AC324">
        <v>158.6</v>
      </c>
      <c r="AD324">
        <v>165</v>
      </c>
      <c r="AE324">
        <f t="shared" si="85"/>
        <v>170.3</v>
      </c>
      <c r="AF324">
        <f t="shared" si="84"/>
        <v>164.5</v>
      </c>
      <c r="AG324">
        <f t="shared" si="86"/>
        <v>161</v>
      </c>
      <c r="AH324">
        <f t="shared" si="87"/>
        <v>161.6</v>
      </c>
      <c r="AI324">
        <f t="shared" si="88"/>
        <v>166.1</v>
      </c>
      <c r="AJ324">
        <f t="shared" si="88"/>
        <v>152.69999999999999</v>
      </c>
      <c r="AK324">
        <f t="shared" si="89"/>
        <v>162.5</v>
      </c>
      <c r="AL324">
        <f t="shared" si="90"/>
        <v>158.4</v>
      </c>
      <c r="AM324">
        <f t="shared" si="91"/>
        <v>196.4</v>
      </c>
      <c r="AN324">
        <f t="shared" si="92"/>
        <v>157.69999999999999</v>
      </c>
      <c r="AO324">
        <f t="shared" si="93"/>
        <v>165.12000000000003</v>
      </c>
    </row>
    <row r="325" spans="1:41" x14ac:dyDescent="0.45">
      <c r="A325" t="s">
        <v>34</v>
      </c>
      <c r="B325">
        <v>2022</v>
      </c>
      <c r="C325" t="s">
        <v>31</v>
      </c>
      <c r="D325">
        <v>164.5</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164.2</v>
      </c>
      <c r="W325">
        <v>161.1</v>
      </c>
      <c r="X325">
        <v>171.4</v>
      </c>
      <c r="Y325">
        <v>156.5</v>
      </c>
      <c r="Z325">
        <v>161.19999999999999</v>
      </c>
      <c r="AA325">
        <v>164.7</v>
      </c>
      <c r="AB325">
        <v>163</v>
      </c>
      <c r="AC325">
        <v>162.69999999999999</v>
      </c>
      <c r="AD325">
        <v>165.7</v>
      </c>
      <c r="AE325">
        <f t="shared" si="85"/>
        <v>166.4</v>
      </c>
      <c r="AF325">
        <f t="shared" si="84"/>
        <v>164.5</v>
      </c>
      <c r="AG325">
        <f t="shared" si="86"/>
        <v>164.7</v>
      </c>
      <c r="AH325">
        <f t="shared" si="87"/>
        <v>164.2</v>
      </c>
      <c r="AI325">
        <f t="shared" si="88"/>
        <v>171.4</v>
      </c>
      <c r="AJ325">
        <f t="shared" si="88"/>
        <v>156.5</v>
      </c>
      <c r="AK325">
        <f t="shared" si="89"/>
        <v>165.75</v>
      </c>
      <c r="AL325">
        <f t="shared" si="90"/>
        <v>161.19999999999999</v>
      </c>
      <c r="AM325">
        <f t="shared" si="91"/>
        <v>192.2</v>
      </c>
      <c r="AN325">
        <f t="shared" si="92"/>
        <v>161.89999999999998</v>
      </c>
      <c r="AO325">
        <f t="shared" si="93"/>
        <v>166.875</v>
      </c>
    </row>
    <row r="326" spans="1:41" x14ac:dyDescent="0.45">
      <c r="A326" t="s">
        <v>30</v>
      </c>
      <c r="B326">
        <v>2022</v>
      </c>
      <c r="C326" t="s">
        <v>35</v>
      </c>
      <c r="D326" t="s">
        <v>32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v>167.4</v>
      </c>
      <c r="W326">
        <v>165.7</v>
      </c>
      <c r="X326">
        <v>175.3</v>
      </c>
      <c r="Y326">
        <v>161.19999999999999</v>
      </c>
      <c r="Z326">
        <v>165.5</v>
      </c>
      <c r="AA326">
        <v>170.3</v>
      </c>
      <c r="AB326">
        <v>164.5</v>
      </c>
      <c r="AC326">
        <v>167.3</v>
      </c>
      <c r="AD326">
        <v>166.7</v>
      </c>
      <c r="AE326">
        <f t="shared" si="85"/>
        <v>163.9</v>
      </c>
      <c r="AF326" t="str">
        <f t="shared" si="84"/>
        <v>NA</v>
      </c>
      <c r="AG326">
        <f t="shared" si="86"/>
        <v>170.3</v>
      </c>
      <c r="AH326">
        <f t="shared" si="87"/>
        <v>167.4</v>
      </c>
      <c r="AI326">
        <f t="shared" si="88"/>
        <v>175.3</v>
      </c>
      <c r="AJ326">
        <f t="shared" si="88"/>
        <v>161.19999999999999</v>
      </c>
      <c r="AK326">
        <f t="shared" si="89"/>
        <v>169.1</v>
      </c>
      <c r="AL326">
        <f t="shared" si="90"/>
        <v>165.5</v>
      </c>
      <c r="AM326">
        <f t="shared" si="91"/>
        <v>191.5</v>
      </c>
      <c r="AN326">
        <f t="shared" si="92"/>
        <v>166.5</v>
      </c>
      <c r="AO326">
        <f t="shared" si="93"/>
        <v>170.07777777777781</v>
      </c>
    </row>
    <row r="327" spans="1:41" x14ac:dyDescent="0.45">
      <c r="A327" t="s">
        <v>33</v>
      </c>
      <c r="B327">
        <v>2022</v>
      </c>
      <c r="C327" t="s">
        <v>35</v>
      </c>
      <c r="D327">
        <v>165.5</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163</v>
      </c>
      <c r="W327">
        <v>157.4</v>
      </c>
      <c r="X327">
        <v>167.2</v>
      </c>
      <c r="Y327">
        <v>153.1</v>
      </c>
      <c r="Z327">
        <v>159.5</v>
      </c>
      <c r="AA327">
        <v>162</v>
      </c>
      <c r="AB327">
        <v>164.2</v>
      </c>
      <c r="AC327">
        <v>159.4</v>
      </c>
      <c r="AD327">
        <v>165.5</v>
      </c>
      <c r="AE327">
        <f t="shared" si="85"/>
        <v>170.2</v>
      </c>
      <c r="AF327">
        <f t="shared" si="84"/>
        <v>165.5</v>
      </c>
      <c r="AG327">
        <f t="shared" si="86"/>
        <v>162</v>
      </c>
      <c r="AH327">
        <f t="shared" si="87"/>
        <v>163</v>
      </c>
      <c r="AI327">
        <f t="shared" si="88"/>
        <v>167.2</v>
      </c>
      <c r="AJ327">
        <f t="shared" si="88"/>
        <v>153.1</v>
      </c>
      <c r="AK327">
        <f t="shared" si="89"/>
        <v>163.80000000000001</v>
      </c>
      <c r="AL327">
        <f t="shared" si="90"/>
        <v>159.5</v>
      </c>
      <c r="AM327">
        <f t="shared" si="91"/>
        <v>196.5</v>
      </c>
      <c r="AN327">
        <f t="shared" si="92"/>
        <v>158.4</v>
      </c>
      <c r="AO327">
        <f t="shared" si="93"/>
        <v>165.92000000000002</v>
      </c>
    </row>
    <row r="328" spans="1:41" x14ac:dyDescent="0.45">
      <c r="A328" t="s">
        <v>34</v>
      </c>
      <c r="B328">
        <v>2022</v>
      </c>
      <c r="C328" t="s">
        <v>35</v>
      </c>
      <c r="D328">
        <v>165.5</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165.7</v>
      </c>
      <c r="W328">
        <v>161.80000000000001</v>
      </c>
      <c r="X328">
        <v>172.2</v>
      </c>
      <c r="Y328">
        <v>156.9</v>
      </c>
      <c r="Z328">
        <v>162.1</v>
      </c>
      <c r="AA328">
        <v>165.4</v>
      </c>
      <c r="AB328">
        <v>164.4</v>
      </c>
      <c r="AC328">
        <v>163.5</v>
      </c>
      <c r="AD328">
        <v>166.1</v>
      </c>
      <c r="AE328">
        <f t="shared" si="85"/>
        <v>166.2</v>
      </c>
      <c r="AF328">
        <f t="shared" si="84"/>
        <v>165.5</v>
      </c>
      <c r="AG328">
        <f t="shared" si="86"/>
        <v>165.4</v>
      </c>
      <c r="AH328">
        <f t="shared" si="87"/>
        <v>165.7</v>
      </c>
      <c r="AI328">
        <f t="shared" si="88"/>
        <v>172.2</v>
      </c>
      <c r="AJ328">
        <f t="shared" si="88"/>
        <v>156.9</v>
      </c>
      <c r="AK328">
        <f t="shared" si="89"/>
        <v>167</v>
      </c>
      <c r="AL328">
        <f t="shared" si="90"/>
        <v>162.1</v>
      </c>
      <c r="AM328">
        <f t="shared" si="91"/>
        <v>192.8</v>
      </c>
      <c r="AN328">
        <f t="shared" si="92"/>
        <v>162.65</v>
      </c>
      <c r="AO328">
        <f t="shared" si="93"/>
        <v>167.64500000000001</v>
      </c>
    </row>
    <row r="329" spans="1:41" x14ac:dyDescent="0.45">
      <c r="A329" t="s">
        <v>30</v>
      </c>
      <c r="B329">
        <v>2022</v>
      </c>
      <c r="C329" t="s">
        <v>36</v>
      </c>
      <c r="D329" t="s">
        <v>32</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v>168.9</v>
      </c>
      <c r="W329">
        <v>166.5</v>
      </c>
      <c r="X329">
        <v>176</v>
      </c>
      <c r="Y329">
        <v>162</v>
      </c>
      <c r="Z329">
        <v>166.6</v>
      </c>
      <c r="AA329">
        <v>170.6</v>
      </c>
      <c r="AB329">
        <v>167.4</v>
      </c>
      <c r="AC329">
        <v>168.3</v>
      </c>
      <c r="AD329">
        <v>168.7</v>
      </c>
      <c r="AE329">
        <f t="shared" si="85"/>
        <v>166.6</v>
      </c>
      <c r="AF329" t="str">
        <f t="shared" si="84"/>
        <v>NA</v>
      </c>
      <c r="AG329">
        <f t="shared" si="86"/>
        <v>170.6</v>
      </c>
      <c r="AH329">
        <f t="shared" si="87"/>
        <v>168.9</v>
      </c>
      <c r="AI329">
        <f t="shared" si="88"/>
        <v>176</v>
      </c>
      <c r="AJ329">
        <f t="shared" si="88"/>
        <v>162</v>
      </c>
      <c r="AK329">
        <f t="shared" si="89"/>
        <v>171.25</v>
      </c>
      <c r="AL329">
        <f t="shared" si="90"/>
        <v>166.6</v>
      </c>
      <c r="AM329">
        <f t="shared" si="91"/>
        <v>192.3</v>
      </c>
      <c r="AN329">
        <f t="shared" si="92"/>
        <v>167.4</v>
      </c>
      <c r="AO329">
        <f t="shared" si="93"/>
        <v>171.29444444444445</v>
      </c>
    </row>
    <row r="330" spans="1:41" x14ac:dyDescent="0.45">
      <c r="A330" t="s">
        <v>33</v>
      </c>
      <c r="B330">
        <v>2022</v>
      </c>
      <c r="C330" t="s">
        <v>36</v>
      </c>
      <c r="D330">
        <v>165.3</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164.5</v>
      </c>
      <c r="W330">
        <v>158.6</v>
      </c>
      <c r="X330">
        <v>168.2</v>
      </c>
      <c r="Y330">
        <v>154.19999999999999</v>
      </c>
      <c r="Z330">
        <v>160.80000000000001</v>
      </c>
      <c r="AA330">
        <v>162.69999999999999</v>
      </c>
      <c r="AB330">
        <v>166.8</v>
      </c>
      <c r="AC330">
        <v>160.6</v>
      </c>
      <c r="AD330">
        <v>166.5</v>
      </c>
      <c r="AE330">
        <f t="shared" si="85"/>
        <v>171.5</v>
      </c>
      <c r="AF330">
        <f t="shared" si="84"/>
        <v>165.3</v>
      </c>
      <c r="AG330">
        <f t="shared" si="86"/>
        <v>162.69999999999999</v>
      </c>
      <c r="AH330">
        <f t="shared" si="87"/>
        <v>164.5</v>
      </c>
      <c r="AI330">
        <f t="shared" si="88"/>
        <v>168.2</v>
      </c>
      <c r="AJ330">
        <f t="shared" si="88"/>
        <v>154.19999999999999</v>
      </c>
      <c r="AK330">
        <f t="shared" si="89"/>
        <v>165.85000000000002</v>
      </c>
      <c r="AL330">
        <f t="shared" si="90"/>
        <v>160.80000000000001</v>
      </c>
      <c r="AM330">
        <f t="shared" si="91"/>
        <v>197.5</v>
      </c>
      <c r="AN330">
        <f t="shared" si="92"/>
        <v>159.6</v>
      </c>
      <c r="AO330">
        <f t="shared" si="93"/>
        <v>167.01499999999999</v>
      </c>
    </row>
    <row r="331" spans="1:41" x14ac:dyDescent="0.45">
      <c r="A331" t="s">
        <v>34</v>
      </c>
      <c r="B331">
        <v>2022</v>
      </c>
      <c r="C331" t="s">
        <v>36</v>
      </c>
      <c r="D331">
        <v>165.3</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167.2</v>
      </c>
      <c r="W331">
        <v>162.80000000000001</v>
      </c>
      <c r="X331">
        <v>173</v>
      </c>
      <c r="Y331">
        <v>157.9</v>
      </c>
      <c r="Z331">
        <v>163.30000000000001</v>
      </c>
      <c r="AA331">
        <v>166</v>
      </c>
      <c r="AB331">
        <v>167.2</v>
      </c>
      <c r="AC331">
        <v>164.6</v>
      </c>
      <c r="AD331">
        <v>167.7</v>
      </c>
      <c r="AE331">
        <f t="shared" si="85"/>
        <v>168.4</v>
      </c>
      <c r="AF331">
        <f t="shared" si="84"/>
        <v>165.3</v>
      </c>
      <c r="AG331">
        <f t="shared" si="86"/>
        <v>166</v>
      </c>
      <c r="AH331">
        <f t="shared" si="87"/>
        <v>167.2</v>
      </c>
      <c r="AI331">
        <f t="shared" si="88"/>
        <v>173</v>
      </c>
      <c r="AJ331">
        <f t="shared" si="88"/>
        <v>157.9</v>
      </c>
      <c r="AK331">
        <f t="shared" si="89"/>
        <v>169.14999999999998</v>
      </c>
      <c r="AL331">
        <f t="shared" si="90"/>
        <v>163.30000000000001</v>
      </c>
      <c r="AM331">
        <f t="shared" si="91"/>
        <v>193.7</v>
      </c>
      <c r="AN331">
        <f t="shared" si="92"/>
        <v>163.69999999999999</v>
      </c>
      <c r="AO331">
        <f t="shared" si="93"/>
        <v>168.76500000000001</v>
      </c>
    </row>
    <row r="332" spans="1:41" x14ac:dyDescent="0.45">
      <c r="A332" t="s">
        <v>30</v>
      </c>
      <c r="B332">
        <v>2022</v>
      </c>
      <c r="C332" t="s">
        <v>37</v>
      </c>
      <c r="D332" t="s">
        <v>32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v>173.3</v>
      </c>
      <c r="W332">
        <v>167.7</v>
      </c>
      <c r="X332">
        <v>177</v>
      </c>
      <c r="Y332">
        <v>166.2</v>
      </c>
      <c r="Z332">
        <v>167.2</v>
      </c>
      <c r="AA332">
        <v>170.9</v>
      </c>
      <c r="AB332">
        <v>169</v>
      </c>
      <c r="AC332">
        <v>170.2</v>
      </c>
      <c r="AD332">
        <v>170.8</v>
      </c>
      <c r="AE332">
        <f t="shared" si="85"/>
        <v>168.6</v>
      </c>
      <c r="AF332" t="str">
        <f t="shared" si="84"/>
        <v>NA</v>
      </c>
      <c r="AG332">
        <f t="shared" si="86"/>
        <v>170.9</v>
      </c>
      <c r="AH332">
        <f t="shared" si="87"/>
        <v>173.3</v>
      </c>
      <c r="AI332">
        <f t="shared" si="88"/>
        <v>177</v>
      </c>
      <c r="AJ332">
        <f t="shared" si="88"/>
        <v>166.2</v>
      </c>
      <c r="AK332">
        <f t="shared" si="89"/>
        <v>173.05</v>
      </c>
      <c r="AL332">
        <f t="shared" si="90"/>
        <v>167.2</v>
      </c>
      <c r="AM332">
        <f t="shared" si="91"/>
        <v>192.8</v>
      </c>
      <c r="AN332">
        <f t="shared" si="92"/>
        <v>168.95</v>
      </c>
      <c r="AO332">
        <f t="shared" si="93"/>
        <v>173.11111111111111</v>
      </c>
    </row>
    <row r="333" spans="1:41" x14ac:dyDescent="0.45">
      <c r="A333" t="s">
        <v>33</v>
      </c>
      <c r="B333">
        <v>2022</v>
      </c>
      <c r="C333" t="s">
        <v>37</v>
      </c>
      <c r="D333">
        <v>167</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170.5</v>
      </c>
      <c r="W333">
        <v>159.80000000000001</v>
      </c>
      <c r="X333">
        <v>169</v>
      </c>
      <c r="Y333">
        <v>159.30000000000001</v>
      </c>
      <c r="Z333">
        <v>162.19999999999999</v>
      </c>
      <c r="AA333">
        <v>164</v>
      </c>
      <c r="AB333">
        <v>168.4</v>
      </c>
      <c r="AC333">
        <v>163.1</v>
      </c>
      <c r="AD333">
        <v>169.2</v>
      </c>
      <c r="AE333">
        <f t="shared" si="85"/>
        <v>174.5</v>
      </c>
      <c r="AF333">
        <f t="shared" si="84"/>
        <v>167</v>
      </c>
      <c r="AG333">
        <f t="shared" si="86"/>
        <v>164</v>
      </c>
      <c r="AH333">
        <f t="shared" si="87"/>
        <v>170.5</v>
      </c>
      <c r="AI333">
        <f t="shared" si="88"/>
        <v>169</v>
      </c>
      <c r="AJ333">
        <f t="shared" si="88"/>
        <v>159.30000000000001</v>
      </c>
      <c r="AK333">
        <f t="shared" si="89"/>
        <v>167.35000000000002</v>
      </c>
      <c r="AL333">
        <f t="shared" si="90"/>
        <v>162.19999999999999</v>
      </c>
      <c r="AM333">
        <f t="shared" si="91"/>
        <v>197.1</v>
      </c>
      <c r="AN333">
        <f t="shared" si="92"/>
        <v>161.44999999999999</v>
      </c>
      <c r="AO333">
        <f t="shared" si="93"/>
        <v>169.24</v>
      </c>
    </row>
    <row r="334" spans="1:41" x14ac:dyDescent="0.45">
      <c r="A334" t="s">
        <v>34</v>
      </c>
      <c r="B334">
        <v>2022</v>
      </c>
      <c r="C334" t="s">
        <v>37</v>
      </c>
      <c r="D334">
        <v>167</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172.2</v>
      </c>
      <c r="W334">
        <v>164</v>
      </c>
      <c r="X334">
        <v>174</v>
      </c>
      <c r="Y334">
        <v>162.6</v>
      </c>
      <c r="Z334">
        <v>164.4</v>
      </c>
      <c r="AA334">
        <v>166.9</v>
      </c>
      <c r="AB334">
        <v>168.8</v>
      </c>
      <c r="AC334">
        <v>166.8</v>
      </c>
      <c r="AD334">
        <v>170.1</v>
      </c>
      <c r="AE334">
        <f t="shared" si="85"/>
        <v>170.8</v>
      </c>
      <c r="AF334">
        <f t="shared" si="84"/>
        <v>167</v>
      </c>
      <c r="AG334">
        <f t="shared" si="86"/>
        <v>166.9</v>
      </c>
      <c r="AH334">
        <f t="shared" si="87"/>
        <v>172.2</v>
      </c>
      <c r="AI334">
        <f t="shared" si="88"/>
        <v>174</v>
      </c>
      <c r="AJ334">
        <f t="shared" si="88"/>
        <v>162.6</v>
      </c>
      <c r="AK334">
        <f t="shared" si="89"/>
        <v>170.8</v>
      </c>
      <c r="AL334">
        <f t="shared" si="90"/>
        <v>164.4</v>
      </c>
      <c r="AM334">
        <f t="shared" si="91"/>
        <v>193.9</v>
      </c>
      <c r="AN334">
        <f t="shared" si="92"/>
        <v>165.4</v>
      </c>
      <c r="AO334">
        <f t="shared" si="93"/>
        <v>170.80000000000004</v>
      </c>
    </row>
    <row r="335" spans="1:41" x14ac:dyDescent="0.45">
      <c r="A335" t="s">
        <v>30</v>
      </c>
      <c r="B335">
        <v>2022</v>
      </c>
      <c r="C335" t="s">
        <v>38</v>
      </c>
      <c r="D335" t="s">
        <v>32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v>175.3</v>
      </c>
      <c r="W335">
        <v>168.9</v>
      </c>
      <c r="X335">
        <v>177.7</v>
      </c>
      <c r="Y335">
        <v>167.1</v>
      </c>
      <c r="Z335">
        <v>167.6</v>
      </c>
      <c r="AA335">
        <v>171.8</v>
      </c>
      <c r="AB335">
        <v>168.5</v>
      </c>
      <c r="AC335">
        <v>170.9</v>
      </c>
      <c r="AD335">
        <v>172.5</v>
      </c>
      <c r="AE335">
        <f t="shared" si="85"/>
        <v>170.8</v>
      </c>
      <c r="AF335" t="str">
        <f t="shared" si="84"/>
        <v>NA</v>
      </c>
      <c r="AG335">
        <f t="shared" si="86"/>
        <v>171.8</v>
      </c>
      <c r="AH335">
        <f t="shared" si="87"/>
        <v>175.3</v>
      </c>
      <c r="AI335">
        <f t="shared" si="88"/>
        <v>177.7</v>
      </c>
      <c r="AJ335">
        <f t="shared" si="88"/>
        <v>167.1</v>
      </c>
      <c r="AK335">
        <f t="shared" si="89"/>
        <v>173.75</v>
      </c>
      <c r="AL335">
        <f t="shared" si="90"/>
        <v>167.6</v>
      </c>
      <c r="AM335">
        <f t="shared" si="91"/>
        <v>192.9</v>
      </c>
      <c r="AN335">
        <f t="shared" si="92"/>
        <v>169.9</v>
      </c>
      <c r="AO335">
        <f t="shared" si="93"/>
        <v>174.09444444444449</v>
      </c>
    </row>
    <row r="336" spans="1:41" x14ac:dyDescent="0.45">
      <c r="A336" t="s">
        <v>33</v>
      </c>
      <c r="B336">
        <v>2022</v>
      </c>
      <c r="C336" t="s">
        <v>38</v>
      </c>
      <c r="D336">
        <v>167.5</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173.5</v>
      </c>
      <c r="W336">
        <v>161.1</v>
      </c>
      <c r="X336">
        <v>170.1</v>
      </c>
      <c r="Y336">
        <v>159.4</v>
      </c>
      <c r="Z336">
        <v>163.19999999999999</v>
      </c>
      <c r="AA336">
        <v>165.2</v>
      </c>
      <c r="AB336">
        <v>168.2</v>
      </c>
      <c r="AC336">
        <v>163.80000000000001</v>
      </c>
      <c r="AD336">
        <v>170.8</v>
      </c>
      <c r="AE336">
        <f t="shared" si="85"/>
        <v>177.5</v>
      </c>
      <c r="AF336">
        <f t="shared" si="84"/>
        <v>167.5</v>
      </c>
      <c r="AG336">
        <f t="shared" si="86"/>
        <v>165.2</v>
      </c>
      <c r="AH336">
        <f t="shared" si="87"/>
        <v>173.5</v>
      </c>
      <c r="AI336">
        <f t="shared" si="88"/>
        <v>170.1</v>
      </c>
      <c r="AJ336">
        <f t="shared" si="88"/>
        <v>159.4</v>
      </c>
      <c r="AK336">
        <f t="shared" si="89"/>
        <v>168</v>
      </c>
      <c r="AL336">
        <f t="shared" si="90"/>
        <v>163.19999999999999</v>
      </c>
      <c r="AM336">
        <f t="shared" si="91"/>
        <v>197.5</v>
      </c>
      <c r="AN336">
        <f t="shared" si="92"/>
        <v>162.44999999999999</v>
      </c>
      <c r="AO336">
        <f t="shared" si="93"/>
        <v>170.435</v>
      </c>
    </row>
    <row r="337" spans="1:41" x14ac:dyDescent="0.45">
      <c r="A337" t="s">
        <v>34</v>
      </c>
      <c r="B337">
        <v>2022</v>
      </c>
      <c r="C337" t="s">
        <v>38</v>
      </c>
      <c r="D337">
        <v>167.5</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174.6</v>
      </c>
      <c r="W337">
        <v>165.2</v>
      </c>
      <c r="X337">
        <v>174.8</v>
      </c>
      <c r="Y337">
        <v>163</v>
      </c>
      <c r="Z337">
        <v>165.1</v>
      </c>
      <c r="AA337">
        <v>167.9</v>
      </c>
      <c r="AB337">
        <v>168.4</v>
      </c>
      <c r="AC337">
        <v>167.5</v>
      </c>
      <c r="AD337">
        <v>171.7</v>
      </c>
      <c r="AE337">
        <f t="shared" si="85"/>
        <v>173.3</v>
      </c>
      <c r="AF337">
        <f t="shared" si="84"/>
        <v>167.5</v>
      </c>
      <c r="AG337">
        <f t="shared" si="86"/>
        <v>167.9</v>
      </c>
      <c r="AH337">
        <f t="shared" si="87"/>
        <v>174.6</v>
      </c>
      <c r="AI337">
        <f t="shared" si="88"/>
        <v>174.8</v>
      </c>
      <c r="AJ337">
        <f t="shared" si="88"/>
        <v>163</v>
      </c>
      <c r="AK337">
        <f t="shared" si="89"/>
        <v>171.5</v>
      </c>
      <c r="AL337">
        <f t="shared" si="90"/>
        <v>165.1</v>
      </c>
      <c r="AM337">
        <f t="shared" si="91"/>
        <v>194.1</v>
      </c>
      <c r="AN337">
        <f t="shared" si="92"/>
        <v>166.35</v>
      </c>
      <c r="AO337">
        <f t="shared" si="93"/>
        <v>171.815</v>
      </c>
    </row>
    <row r="338" spans="1:41" x14ac:dyDescent="0.45">
      <c r="A338" t="s">
        <v>30</v>
      </c>
      <c r="B338">
        <v>2022</v>
      </c>
      <c r="C338" t="s">
        <v>39</v>
      </c>
      <c r="D338" t="s">
        <v>32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v>176.7</v>
      </c>
      <c r="W338">
        <v>170.3</v>
      </c>
      <c r="X338">
        <v>178.2</v>
      </c>
      <c r="Y338">
        <v>165.5</v>
      </c>
      <c r="Z338">
        <v>168</v>
      </c>
      <c r="AA338">
        <v>172.6</v>
      </c>
      <c r="AB338">
        <v>169.5</v>
      </c>
      <c r="AC338">
        <v>171</v>
      </c>
      <c r="AD338">
        <v>173.6</v>
      </c>
      <c r="AE338">
        <f t="shared" si="85"/>
        <v>172.4</v>
      </c>
      <c r="AF338" t="str">
        <f t="shared" si="84"/>
        <v>NA</v>
      </c>
      <c r="AG338">
        <f t="shared" si="86"/>
        <v>172.6</v>
      </c>
      <c r="AH338">
        <f t="shared" si="87"/>
        <v>176.7</v>
      </c>
      <c r="AI338">
        <f t="shared" si="88"/>
        <v>178.2</v>
      </c>
      <c r="AJ338">
        <f t="shared" si="88"/>
        <v>165.5</v>
      </c>
      <c r="AK338">
        <f t="shared" si="89"/>
        <v>174.95</v>
      </c>
      <c r="AL338">
        <f t="shared" si="90"/>
        <v>168</v>
      </c>
      <c r="AM338">
        <f t="shared" si="91"/>
        <v>192.9</v>
      </c>
      <c r="AN338">
        <f t="shared" si="92"/>
        <v>170.65</v>
      </c>
      <c r="AO338">
        <f t="shared" si="93"/>
        <v>174.65555555555559</v>
      </c>
    </row>
    <row r="339" spans="1:41" x14ac:dyDescent="0.45">
      <c r="A339" t="s">
        <v>33</v>
      </c>
      <c r="B339">
        <v>2022</v>
      </c>
      <c r="C339" t="s">
        <v>39</v>
      </c>
      <c r="D339">
        <v>166.8</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174.9</v>
      </c>
      <c r="W339">
        <v>162.1</v>
      </c>
      <c r="X339">
        <v>170.9</v>
      </c>
      <c r="Y339">
        <v>157.19999999999999</v>
      </c>
      <c r="Z339">
        <v>164.1</v>
      </c>
      <c r="AA339">
        <v>166.5</v>
      </c>
      <c r="AB339">
        <v>169.2</v>
      </c>
      <c r="AC339">
        <v>163.80000000000001</v>
      </c>
      <c r="AD339">
        <v>171.4</v>
      </c>
      <c r="AE339">
        <f t="shared" si="85"/>
        <v>179.3</v>
      </c>
      <c r="AF339">
        <f t="shared" si="84"/>
        <v>166.8</v>
      </c>
      <c r="AG339">
        <f t="shared" si="86"/>
        <v>166.5</v>
      </c>
      <c r="AH339">
        <f t="shared" si="87"/>
        <v>174.9</v>
      </c>
      <c r="AI339">
        <f t="shared" si="88"/>
        <v>170.9</v>
      </c>
      <c r="AJ339">
        <f t="shared" si="88"/>
        <v>157.19999999999999</v>
      </c>
      <c r="AK339">
        <f t="shared" si="89"/>
        <v>169.3</v>
      </c>
      <c r="AL339">
        <f t="shared" si="90"/>
        <v>164.1</v>
      </c>
      <c r="AM339">
        <f t="shared" si="91"/>
        <v>198.3</v>
      </c>
      <c r="AN339">
        <f t="shared" si="92"/>
        <v>162.94999999999999</v>
      </c>
      <c r="AO339">
        <f t="shared" si="93"/>
        <v>171.02499999999998</v>
      </c>
    </row>
    <row r="340" spans="1:41" x14ac:dyDescent="0.45">
      <c r="A340" t="s">
        <v>34</v>
      </c>
      <c r="B340">
        <v>2022</v>
      </c>
      <c r="C340" t="s">
        <v>39</v>
      </c>
      <c r="D340">
        <v>166.8</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176</v>
      </c>
      <c r="W340">
        <v>166.4</v>
      </c>
      <c r="X340">
        <v>175.4</v>
      </c>
      <c r="Y340">
        <v>161.1</v>
      </c>
      <c r="Z340">
        <v>165.8</v>
      </c>
      <c r="AA340">
        <v>169</v>
      </c>
      <c r="AB340">
        <v>169.4</v>
      </c>
      <c r="AC340">
        <v>167.5</v>
      </c>
      <c r="AD340">
        <v>172.6</v>
      </c>
      <c r="AE340">
        <f t="shared" si="85"/>
        <v>174.9</v>
      </c>
      <c r="AF340">
        <f t="shared" si="84"/>
        <v>166.8</v>
      </c>
      <c r="AG340">
        <f t="shared" si="86"/>
        <v>169</v>
      </c>
      <c r="AH340">
        <f t="shared" si="87"/>
        <v>176</v>
      </c>
      <c r="AI340">
        <f t="shared" si="88"/>
        <v>175.4</v>
      </c>
      <c r="AJ340">
        <f t="shared" si="88"/>
        <v>161.1</v>
      </c>
      <c r="AK340">
        <f t="shared" si="89"/>
        <v>172.7</v>
      </c>
      <c r="AL340">
        <f t="shared" si="90"/>
        <v>165.8</v>
      </c>
      <c r="AM340">
        <f t="shared" si="91"/>
        <v>194.3</v>
      </c>
      <c r="AN340">
        <f t="shared" si="92"/>
        <v>166.95</v>
      </c>
      <c r="AO340">
        <f t="shared" si="93"/>
        <v>172.29500000000002</v>
      </c>
    </row>
    <row r="341" spans="1:41" x14ac:dyDescent="0.45">
      <c r="A341" t="s">
        <v>30</v>
      </c>
      <c r="B341">
        <v>2022</v>
      </c>
      <c r="C341" t="s">
        <v>40</v>
      </c>
      <c r="D341" t="s">
        <v>32</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v>179.6</v>
      </c>
      <c r="W341">
        <v>171.3</v>
      </c>
      <c r="X341">
        <v>178.8</v>
      </c>
      <c r="Y341">
        <v>166.3</v>
      </c>
      <c r="Z341">
        <v>168.6</v>
      </c>
      <c r="AA341">
        <v>174.7</v>
      </c>
      <c r="AB341">
        <v>169.7</v>
      </c>
      <c r="AC341">
        <v>171.8</v>
      </c>
      <c r="AD341">
        <v>174.3</v>
      </c>
      <c r="AE341">
        <f t="shared" si="85"/>
        <v>172.5</v>
      </c>
      <c r="AF341" t="str">
        <f t="shared" si="84"/>
        <v>NA</v>
      </c>
      <c r="AG341">
        <f t="shared" si="86"/>
        <v>174.7</v>
      </c>
      <c r="AH341">
        <f t="shared" si="87"/>
        <v>179.6</v>
      </c>
      <c r="AI341">
        <f t="shared" si="88"/>
        <v>178.8</v>
      </c>
      <c r="AJ341">
        <f t="shared" si="88"/>
        <v>166.3</v>
      </c>
      <c r="AK341">
        <f t="shared" si="89"/>
        <v>175.7</v>
      </c>
      <c r="AL341">
        <f t="shared" si="90"/>
        <v>168.6</v>
      </c>
      <c r="AM341">
        <f t="shared" si="91"/>
        <v>193.2</v>
      </c>
      <c r="AN341">
        <f t="shared" si="92"/>
        <v>171.55</v>
      </c>
      <c r="AO341">
        <f t="shared" si="93"/>
        <v>175.6611111111111</v>
      </c>
    </row>
    <row r="342" spans="1:41" x14ac:dyDescent="0.45">
      <c r="A342" t="s">
        <v>33</v>
      </c>
      <c r="B342">
        <v>2022</v>
      </c>
      <c r="C342" t="s">
        <v>40</v>
      </c>
      <c r="D342">
        <v>167.8</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179.5</v>
      </c>
      <c r="W342">
        <v>163.1</v>
      </c>
      <c r="X342">
        <v>171.7</v>
      </c>
      <c r="Y342">
        <v>157.4</v>
      </c>
      <c r="Z342">
        <v>164.6</v>
      </c>
      <c r="AA342">
        <v>169.1</v>
      </c>
      <c r="AB342">
        <v>169.8</v>
      </c>
      <c r="AC342">
        <v>164.7</v>
      </c>
      <c r="AD342">
        <v>172.3</v>
      </c>
      <c r="AE342">
        <f t="shared" si="85"/>
        <v>179.4</v>
      </c>
      <c r="AF342">
        <f t="shared" si="84"/>
        <v>167.8</v>
      </c>
      <c r="AG342">
        <f t="shared" si="86"/>
        <v>169.1</v>
      </c>
      <c r="AH342">
        <f t="shared" si="87"/>
        <v>179.5</v>
      </c>
      <c r="AI342">
        <f t="shared" si="88"/>
        <v>171.7</v>
      </c>
      <c r="AJ342">
        <f t="shared" si="88"/>
        <v>157.4</v>
      </c>
      <c r="AK342">
        <f t="shared" si="89"/>
        <v>170.2</v>
      </c>
      <c r="AL342">
        <f t="shared" si="90"/>
        <v>164.6</v>
      </c>
      <c r="AM342">
        <f t="shared" si="91"/>
        <v>198.6</v>
      </c>
      <c r="AN342">
        <f t="shared" si="92"/>
        <v>163.89999999999998</v>
      </c>
      <c r="AO342">
        <f t="shared" si="93"/>
        <v>172.21999999999997</v>
      </c>
    </row>
    <row r="343" spans="1:41" x14ac:dyDescent="0.45">
      <c r="A343" t="s">
        <v>34</v>
      </c>
      <c r="B343">
        <v>2022</v>
      </c>
      <c r="C343" t="s">
        <v>40</v>
      </c>
      <c r="D343">
        <v>167.8</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179.6</v>
      </c>
      <c r="W343">
        <v>167.4</v>
      </c>
      <c r="X343">
        <v>176.1</v>
      </c>
      <c r="Y343">
        <v>161.6</v>
      </c>
      <c r="Z343">
        <v>166.3</v>
      </c>
      <c r="AA343">
        <v>171.4</v>
      </c>
      <c r="AB343">
        <v>169.7</v>
      </c>
      <c r="AC343">
        <v>168.4</v>
      </c>
      <c r="AD343">
        <v>173.4</v>
      </c>
      <c r="AE343">
        <f t="shared" si="85"/>
        <v>175</v>
      </c>
      <c r="AF343">
        <f t="shared" si="84"/>
        <v>167.8</v>
      </c>
      <c r="AG343">
        <f t="shared" si="86"/>
        <v>171.4</v>
      </c>
      <c r="AH343">
        <f t="shared" si="87"/>
        <v>179.6</v>
      </c>
      <c r="AI343">
        <f t="shared" si="88"/>
        <v>176.1</v>
      </c>
      <c r="AJ343">
        <f t="shared" si="88"/>
        <v>161.6</v>
      </c>
      <c r="AK343">
        <f t="shared" si="89"/>
        <v>173.5</v>
      </c>
      <c r="AL343">
        <f t="shared" si="90"/>
        <v>166.3</v>
      </c>
      <c r="AM343">
        <f t="shared" si="91"/>
        <v>194.6</v>
      </c>
      <c r="AN343">
        <f t="shared" si="92"/>
        <v>167.9</v>
      </c>
      <c r="AO343">
        <f t="shared" si="93"/>
        <v>173.38</v>
      </c>
    </row>
    <row r="344" spans="1:41" x14ac:dyDescent="0.45">
      <c r="A344" t="s">
        <v>30</v>
      </c>
      <c r="B344">
        <v>2022</v>
      </c>
      <c r="C344" t="s">
        <v>41</v>
      </c>
      <c r="D344" t="s">
        <v>32</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v>179.1</v>
      </c>
      <c r="W344">
        <v>172.3</v>
      </c>
      <c r="X344">
        <v>179.4</v>
      </c>
      <c r="Y344">
        <v>166.6</v>
      </c>
      <c r="Z344">
        <v>169.3</v>
      </c>
      <c r="AA344">
        <v>175.7</v>
      </c>
      <c r="AB344">
        <v>171.1</v>
      </c>
      <c r="AC344">
        <v>172.6</v>
      </c>
      <c r="AD344">
        <v>175.3</v>
      </c>
      <c r="AE344">
        <f t="shared" si="85"/>
        <v>173.9</v>
      </c>
      <c r="AF344" t="str">
        <f t="shared" si="84"/>
        <v>NA</v>
      </c>
      <c r="AG344">
        <f t="shared" si="86"/>
        <v>175.7</v>
      </c>
      <c r="AH344">
        <f t="shared" si="87"/>
        <v>179.1</v>
      </c>
      <c r="AI344">
        <f t="shared" si="88"/>
        <v>179.4</v>
      </c>
      <c r="AJ344">
        <f t="shared" si="88"/>
        <v>166.6</v>
      </c>
      <c r="AK344">
        <f t="shared" si="89"/>
        <v>177.05</v>
      </c>
      <c r="AL344">
        <f t="shared" si="90"/>
        <v>169.3</v>
      </c>
      <c r="AM344">
        <f t="shared" si="91"/>
        <v>193.7</v>
      </c>
      <c r="AN344">
        <f t="shared" si="92"/>
        <v>172.45</v>
      </c>
      <c r="AO344">
        <f t="shared" si="93"/>
        <v>176.35555555555555</v>
      </c>
    </row>
    <row r="345" spans="1:41" x14ac:dyDescent="0.45">
      <c r="A345" t="s">
        <v>33</v>
      </c>
      <c r="B345">
        <v>2022</v>
      </c>
      <c r="C345" t="s">
        <v>41</v>
      </c>
      <c r="D345">
        <v>169</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178.4</v>
      </c>
      <c r="W345">
        <v>164.2</v>
      </c>
      <c r="X345">
        <v>172.6</v>
      </c>
      <c r="Y345">
        <v>157.69999999999999</v>
      </c>
      <c r="Z345">
        <v>165.1</v>
      </c>
      <c r="AA345">
        <v>169.9</v>
      </c>
      <c r="AB345">
        <v>171.4</v>
      </c>
      <c r="AC345">
        <v>165.4</v>
      </c>
      <c r="AD345">
        <v>173.1</v>
      </c>
      <c r="AE345">
        <f t="shared" si="85"/>
        <v>180.4</v>
      </c>
      <c r="AF345">
        <f t="shared" si="84"/>
        <v>169</v>
      </c>
      <c r="AG345">
        <f t="shared" si="86"/>
        <v>169.9</v>
      </c>
      <c r="AH345">
        <f t="shared" si="87"/>
        <v>178.4</v>
      </c>
      <c r="AI345">
        <f t="shared" si="88"/>
        <v>172.6</v>
      </c>
      <c r="AJ345">
        <f t="shared" si="88"/>
        <v>157.69999999999999</v>
      </c>
      <c r="AK345">
        <f t="shared" si="89"/>
        <v>171.5</v>
      </c>
      <c r="AL345">
        <f t="shared" si="90"/>
        <v>165.1</v>
      </c>
      <c r="AM345">
        <f t="shared" si="91"/>
        <v>198.7</v>
      </c>
      <c r="AN345">
        <f t="shared" si="92"/>
        <v>164.8</v>
      </c>
      <c r="AO345">
        <f t="shared" si="93"/>
        <v>172.81</v>
      </c>
    </row>
    <row r="346" spans="1:41" x14ac:dyDescent="0.45">
      <c r="A346" t="s">
        <v>34</v>
      </c>
      <c r="B346">
        <v>2022</v>
      </c>
      <c r="C346" t="s">
        <v>41</v>
      </c>
      <c r="D346">
        <v>169</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178.8</v>
      </c>
      <c r="W346">
        <v>168.5</v>
      </c>
      <c r="X346">
        <v>176.8</v>
      </c>
      <c r="Y346">
        <v>161.9</v>
      </c>
      <c r="Z346">
        <v>166.9</v>
      </c>
      <c r="AA346">
        <v>172.3</v>
      </c>
      <c r="AB346">
        <v>171.2</v>
      </c>
      <c r="AC346">
        <v>169.1</v>
      </c>
      <c r="AD346">
        <v>174.3</v>
      </c>
      <c r="AE346">
        <f t="shared" si="85"/>
        <v>176.3</v>
      </c>
      <c r="AF346">
        <f t="shared" si="84"/>
        <v>169</v>
      </c>
      <c r="AG346">
        <f t="shared" si="86"/>
        <v>172.3</v>
      </c>
      <c r="AH346">
        <f t="shared" si="87"/>
        <v>178.8</v>
      </c>
      <c r="AI346">
        <f t="shared" si="88"/>
        <v>176.8</v>
      </c>
      <c r="AJ346">
        <f t="shared" si="88"/>
        <v>161.9</v>
      </c>
      <c r="AK346">
        <f t="shared" si="89"/>
        <v>174.85</v>
      </c>
      <c r="AL346">
        <f t="shared" si="90"/>
        <v>166.9</v>
      </c>
      <c r="AM346">
        <f t="shared" si="91"/>
        <v>195</v>
      </c>
      <c r="AN346">
        <f t="shared" si="92"/>
        <v>168.8</v>
      </c>
      <c r="AO346">
        <f t="shared" si="93"/>
        <v>174.065</v>
      </c>
    </row>
    <row r="347" spans="1:41" x14ac:dyDescent="0.45">
      <c r="A347" t="s">
        <v>30</v>
      </c>
      <c r="B347">
        <v>2022</v>
      </c>
      <c r="C347" t="s">
        <v>42</v>
      </c>
      <c r="D347" t="s">
        <v>32</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v>179.7</v>
      </c>
      <c r="W347">
        <v>173.6</v>
      </c>
      <c r="X347">
        <v>180.2</v>
      </c>
      <c r="Y347">
        <v>166.9</v>
      </c>
      <c r="Z347">
        <v>170</v>
      </c>
      <c r="AA347">
        <v>176.2</v>
      </c>
      <c r="AB347">
        <v>170.8</v>
      </c>
      <c r="AC347">
        <v>173.1</v>
      </c>
      <c r="AD347">
        <v>176.4</v>
      </c>
      <c r="AE347">
        <f t="shared" si="85"/>
        <v>175.5</v>
      </c>
      <c r="AF347" t="str">
        <f t="shared" si="84"/>
        <v>NA</v>
      </c>
      <c r="AG347">
        <f t="shared" si="86"/>
        <v>176.2</v>
      </c>
      <c r="AH347">
        <f t="shared" si="87"/>
        <v>179.7</v>
      </c>
      <c r="AI347">
        <f t="shared" si="88"/>
        <v>180.2</v>
      </c>
      <c r="AJ347">
        <f t="shared" si="88"/>
        <v>166.9</v>
      </c>
      <c r="AK347">
        <f t="shared" si="89"/>
        <v>177.65</v>
      </c>
      <c r="AL347">
        <f t="shared" si="90"/>
        <v>170</v>
      </c>
      <c r="AM347">
        <f t="shared" si="91"/>
        <v>194.5</v>
      </c>
      <c r="AN347">
        <f t="shared" si="92"/>
        <v>173.35</v>
      </c>
      <c r="AO347">
        <f t="shared" si="93"/>
        <v>177.11111111111109</v>
      </c>
    </row>
    <row r="348" spans="1:41" x14ac:dyDescent="0.45">
      <c r="A348" t="s">
        <v>33</v>
      </c>
      <c r="B348">
        <v>2022</v>
      </c>
      <c r="C348" t="s">
        <v>42</v>
      </c>
      <c r="D348">
        <v>169.5</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179.2</v>
      </c>
      <c r="W348">
        <v>165</v>
      </c>
      <c r="X348">
        <v>173.8</v>
      </c>
      <c r="Y348">
        <v>158.19999999999999</v>
      </c>
      <c r="Z348">
        <v>165.8</v>
      </c>
      <c r="AA348">
        <v>170.9</v>
      </c>
      <c r="AB348">
        <v>171.1</v>
      </c>
      <c r="AC348">
        <v>166.1</v>
      </c>
      <c r="AD348">
        <v>174.1</v>
      </c>
      <c r="AE348">
        <f t="shared" si="85"/>
        <v>181.8</v>
      </c>
      <c r="AF348">
        <f t="shared" si="84"/>
        <v>169.5</v>
      </c>
      <c r="AG348">
        <f t="shared" si="86"/>
        <v>170.9</v>
      </c>
      <c r="AH348">
        <f t="shared" si="87"/>
        <v>179.2</v>
      </c>
      <c r="AI348">
        <f t="shared" si="88"/>
        <v>173.8</v>
      </c>
      <c r="AJ348">
        <f t="shared" si="88"/>
        <v>158.19999999999999</v>
      </c>
      <c r="AK348">
        <f t="shared" si="89"/>
        <v>172.05</v>
      </c>
      <c r="AL348">
        <f t="shared" si="90"/>
        <v>165.8</v>
      </c>
      <c r="AM348">
        <f t="shared" si="91"/>
        <v>199.7</v>
      </c>
      <c r="AN348">
        <f t="shared" si="92"/>
        <v>165.55</v>
      </c>
      <c r="AO348">
        <f t="shared" si="93"/>
        <v>173.65</v>
      </c>
    </row>
    <row r="349" spans="1:41" x14ac:dyDescent="0.45">
      <c r="A349" t="s">
        <v>34</v>
      </c>
      <c r="B349">
        <v>2022</v>
      </c>
      <c r="C349" t="s">
        <v>42</v>
      </c>
      <c r="D349">
        <v>169.5</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179.5</v>
      </c>
      <c r="W349">
        <v>169.5</v>
      </c>
      <c r="X349">
        <v>177.8</v>
      </c>
      <c r="Y349">
        <v>162.30000000000001</v>
      </c>
      <c r="Z349">
        <v>167.6</v>
      </c>
      <c r="AA349">
        <v>173.1</v>
      </c>
      <c r="AB349">
        <v>170.9</v>
      </c>
      <c r="AC349">
        <v>169.7</v>
      </c>
      <c r="AD349">
        <v>175.3</v>
      </c>
      <c r="AE349">
        <f t="shared" si="85"/>
        <v>177.8</v>
      </c>
      <c r="AF349">
        <f t="shared" si="84"/>
        <v>169.5</v>
      </c>
      <c r="AG349">
        <f t="shared" si="86"/>
        <v>173.1</v>
      </c>
      <c r="AH349">
        <f t="shared" si="87"/>
        <v>179.5</v>
      </c>
      <c r="AI349">
        <f t="shared" si="88"/>
        <v>177.8</v>
      </c>
      <c r="AJ349">
        <f t="shared" si="88"/>
        <v>162.30000000000001</v>
      </c>
      <c r="AK349">
        <f t="shared" si="89"/>
        <v>175.4</v>
      </c>
      <c r="AL349">
        <f t="shared" si="90"/>
        <v>167.6</v>
      </c>
      <c r="AM349">
        <f t="shared" si="91"/>
        <v>195.9</v>
      </c>
      <c r="AN349">
        <f t="shared" si="92"/>
        <v>169.6</v>
      </c>
      <c r="AO349">
        <f t="shared" si="93"/>
        <v>174.85</v>
      </c>
    </row>
    <row r="350" spans="1:41" x14ac:dyDescent="0.45">
      <c r="A350" t="s">
        <v>30</v>
      </c>
      <c r="B350">
        <v>2022</v>
      </c>
      <c r="C350" t="s">
        <v>43</v>
      </c>
      <c r="D350" t="s">
        <v>32</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v>180.8</v>
      </c>
      <c r="W350">
        <v>174.4</v>
      </c>
      <c r="X350">
        <v>181.2</v>
      </c>
      <c r="Y350">
        <v>167.4</v>
      </c>
      <c r="Z350">
        <v>170.6</v>
      </c>
      <c r="AA350">
        <v>176.5</v>
      </c>
      <c r="AB350">
        <v>172</v>
      </c>
      <c r="AC350">
        <v>173.9</v>
      </c>
      <c r="AD350">
        <v>177.9</v>
      </c>
      <c r="AE350">
        <f t="shared" si="85"/>
        <v>177.4</v>
      </c>
      <c r="AF350" t="str">
        <f t="shared" si="84"/>
        <v>NA</v>
      </c>
      <c r="AG350">
        <f t="shared" si="86"/>
        <v>176.5</v>
      </c>
      <c r="AH350">
        <f t="shared" si="87"/>
        <v>180.8</v>
      </c>
      <c r="AI350">
        <f t="shared" si="88"/>
        <v>181.2</v>
      </c>
      <c r="AJ350">
        <f t="shared" si="88"/>
        <v>167.4</v>
      </c>
      <c r="AK350">
        <f t="shared" si="89"/>
        <v>178.95</v>
      </c>
      <c r="AL350">
        <f t="shared" si="90"/>
        <v>170.6</v>
      </c>
      <c r="AM350">
        <f t="shared" si="91"/>
        <v>194.9</v>
      </c>
      <c r="AN350">
        <f t="shared" si="92"/>
        <v>174.15</v>
      </c>
      <c r="AO350">
        <f t="shared" si="93"/>
        <v>177.98888888888891</v>
      </c>
    </row>
    <row r="351" spans="1:41" x14ac:dyDescent="0.45">
      <c r="A351" t="s">
        <v>33</v>
      </c>
      <c r="B351">
        <v>2022</v>
      </c>
      <c r="C351" t="s">
        <v>43</v>
      </c>
      <c r="D351">
        <v>171.2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180</v>
      </c>
      <c r="W351">
        <v>166</v>
      </c>
      <c r="X351">
        <v>174.7</v>
      </c>
      <c r="Y351">
        <v>158.80000000000001</v>
      </c>
      <c r="Z351">
        <v>166.3</v>
      </c>
      <c r="AA351">
        <v>171.2</v>
      </c>
      <c r="AB351">
        <v>172.3</v>
      </c>
      <c r="AC351">
        <v>166.8</v>
      </c>
      <c r="AD351">
        <v>175.3</v>
      </c>
      <c r="AE351">
        <f t="shared" si="85"/>
        <v>183.3</v>
      </c>
      <c r="AF351">
        <f t="shared" si="84"/>
        <v>171.2</v>
      </c>
      <c r="AG351">
        <f t="shared" si="86"/>
        <v>171.2</v>
      </c>
      <c r="AH351">
        <f t="shared" si="87"/>
        <v>180</v>
      </c>
      <c r="AI351">
        <f t="shared" si="88"/>
        <v>174.7</v>
      </c>
      <c r="AJ351">
        <f t="shared" si="88"/>
        <v>158.80000000000001</v>
      </c>
      <c r="AK351">
        <f t="shared" si="89"/>
        <v>172.95</v>
      </c>
      <c r="AL351">
        <f t="shared" si="90"/>
        <v>166.3</v>
      </c>
      <c r="AM351">
        <f t="shared" si="91"/>
        <v>200.1</v>
      </c>
      <c r="AN351">
        <f t="shared" si="92"/>
        <v>166.4</v>
      </c>
      <c r="AO351">
        <f t="shared" si="93"/>
        <v>174.495</v>
      </c>
    </row>
    <row r="352" spans="1:41" x14ac:dyDescent="0.45">
      <c r="A352" t="s">
        <v>34</v>
      </c>
      <c r="B352">
        <v>2022</v>
      </c>
      <c r="C352" t="s">
        <v>43</v>
      </c>
      <c r="D352">
        <v>171.2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180.5</v>
      </c>
      <c r="W352">
        <v>170.4</v>
      </c>
      <c r="X352">
        <v>178.7</v>
      </c>
      <c r="Y352">
        <v>162.9</v>
      </c>
      <c r="Z352">
        <v>168.2</v>
      </c>
      <c r="AA352">
        <v>173.4</v>
      </c>
      <c r="AB352">
        <v>172.1</v>
      </c>
      <c r="AC352">
        <v>170.5</v>
      </c>
      <c r="AD352">
        <v>176.7</v>
      </c>
      <c r="AE352">
        <f t="shared" si="85"/>
        <v>179.6</v>
      </c>
      <c r="AF352">
        <f t="shared" si="84"/>
        <v>171.2</v>
      </c>
      <c r="AG352">
        <f t="shared" si="86"/>
        <v>173.4</v>
      </c>
      <c r="AH352">
        <f t="shared" si="87"/>
        <v>180.5</v>
      </c>
      <c r="AI352">
        <f t="shared" si="88"/>
        <v>178.7</v>
      </c>
      <c r="AJ352">
        <f t="shared" si="88"/>
        <v>162.9</v>
      </c>
      <c r="AK352">
        <f t="shared" si="89"/>
        <v>176.55</v>
      </c>
      <c r="AL352">
        <f t="shared" si="90"/>
        <v>168.2</v>
      </c>
      <c r="AM352">
        <f t="shared" si="91"/>
        <v>196.3</v>
      </c>
      <c r="AN352">
        <f t="shared" si="92"/>
        <v>170.45</v>
      </c>
      <c r="AO352">
        <f t="shared" si="93"/>
        <v>175.78</v>
      </c>
    </row>
    <row r="353" spans="1:41" x14ac:dyDescent="0.45">
      <c r="A353" t="s">
        <v>30</v>
      </c>
      <c r="B353">
        <v>2022</v>
      </c>
      <c r="C353" t="s">
        <v>45</v>
      </c>
      <c r="D353" t="s">
        <v>32</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v>181.9</v>
      </c>
      <c r="W353">
        <v>175.5</v>
      </c>
      <c r="X353">
        <v>182.3</v>
      </c>
      <c r="Y353">
        <v>167.5</v>
      </c>
      <c r="Z353">
        <v>170.8</v>
      </c>
      <c r="AA353">
        <v>176.9</v>
      </c>
      <c r="AB353">
        <v>173.4</v>
      </c>
      <c r="AC353">
        <v>174.6</v>
      </c>
      <c r="AD353">
        <v>177.8</v>
      </c>
      <c r="AE353">
        <f t="shared" si="85"/>
        <v>176.6</v>
      </c>
      <c r="AF353" t="str">
        <f t="shared" si="84"/>
        <v>NA</v>
      </c>
      <c r="AG353">
        <f t="shared" si="86"/>
        <v>176.9</v>
      </c>
      <c r="AH353">
        <f t="shared" si="87"/>
        <v>181.9</v>
      </c>
      <c r="AI353">
        <f t="shared" si="88"/>
        <v>182.3</v>
      </c>
      <c r="AJ353">
        <f t="shared" si="88"/>
        <v>167.5</v>
      </c>
      <c r="AK353">
        <f t="shared" si="89"/>
        <v>180.15</v>
      </c>
      <c r="AL353">
        <f t="shared" si="90"/>
        <v>170.8</v>
      </c>
      <c r="AM353">
        <f t="shared" si="91"/>
        <v>195.5</v>
      </c>
      <c r="AN353">
        <f t="shared" si="92"/>
        <v>175.05</v>
      </c>
      <c r="AO353">
        <f t="shared" si="93"/>
        <v>178.52222222222224</v>
      </c>
    </row>
    <row r="354" spans="1:41" x14ac:dyDescent="0.45">
      <c r="A354" t="s">
        <v>33</v>
      </c>
      <c r="B354">
        <v>2022</v>
      </c>
      <c r="C354" t="s">
        <v>45</v>
      </c>
      <c r="D354">
        <v>171.8</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180.3</v>
      </c>
      <c r="W354">
        <v>166.9</v>
      </c>
      <c r="X354">
        <v>175.8</v>
      </c>
      <c r="Y354">
        <v>158.9</v>
      </c>
      <c r="Z354">
        <v>166.7</v>
      </c>
      <c r="AA354">
        <v>171.5</v>
      </c>
      <c r="AB354">
        <v>173.8</v>
      </c>
      <c r="AC354">
        <v>167.4</v>
      </c>
      <c r="AD354">
        <v>174.1</v>
      </c>
      <c r="AE354">
        <f t="shared" si="85"/>
        <v>181.3</v>
      </c>
      <c r="AF354">
        <f t="shared" si="84"/>
        <v>171.8</v>
      </c>
      <c r="AG354">
        <f t="shared" si="86"/>
        <v>171.5</v>
      </c>
      <c r="AH354">
        <f t="shared" si="87"/>
        <v>180.3</v>
      </c>
      <c r="AI354">
        <f t="shared" si="88"/>
        <v>175.8</v>
      </c>
      <c r="AJ354">
        <f t="shared" si="88"/>
        <v>158.9</v>
      </c>
      <c r="AK354">
        <f t="shared" si="89"/>
        <v>174.25</v>
      </c>
      <c r="AL354">
        <f t="shared" si="90"/>
        <v>166.7</v>
      </c>
      <c r="AM354">
        <f t="shared" si="91"/>
        <v>200.6</v>
      </c>
      <c r="AN354">
        <f t="shared" si="92"/>
        <v>167.15</v>
      </c>
      <c r="AO354">
        <f t="shared" si="93"/>
        <v>174.83</v>
      </c>
    </row>
    <row r="355" spans="1:41" x14ac:dyDescent="0.45">
      <c r="A355" t="s">
        <v>34</v>
      </c>
      <c r="B355">
        <v>2022</v>
      </c>
      <c r="C355" t="s">
        <v>45</v>
      </c>
      <c r="D355">
        <v>171.8</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181.3</v>
      </c>
      <c r="W355">
        <v>171.4</v>
      </c>
      <c r="X355">
        <v>179.8</v>
      </c>
      <c r="Y355">
        <v>163</v>
      </c>
      <c r="Z355">
        <v>168.5</v>
      </c>
      <c r="AA355">
        <v>173.7</v>
      </c>
      <c r="AB355">
        <v>173.6</v>
      </c>
      <c r="AC355">
        <v>171.1</v>
      </c>
      <c r="AD355">
        <v>176.5</v>
      </c>
      <c r="AE355">
        <f t="shared" si="85"/>
        <v>178.3</v>
      </c>
      <c r="AF355">
        <f t="shared" si="84"/>
        <v>171.8</v>
      </c>
      <c r="AG355">
        <f t="shared" si="86"/>
        <v>173.7</v>
      </c>
      <c r="AH355">
        <f t="shared" si="87"/>
        <v>181.3</v>
      </c>
      <c r="AI355">
        <f t="shared" si="88"/>
        <v>179.8</v>
      </c>
      <c r="AJ355">
        <f t="shared" si="88"/>
        <v>163</v>
      </c>
      <c r="AK355">
        <f t="shared" si="89"/>
        <v>177.85</v>
      </c>
      <c r="AL355">
        <f t="shared" si="90"/>
        <v>168.5</v>
      </c>
      <c r="AM355">
        <f t="shared" si="91"/>
        <v>196.9</v>
      </c>
      <c r="AN355">
        <f t="shared" si="92"/>
        <v>171.25</v>
      </c>
      <c r="AO355">
        <f t="shared" si="93"/>
        <v>176.23999999999998</v>
      </c>
    </row>
    <row r="356" spans="1:41" x14ac:dyDescent="0.45">
      <c r="A356" t="s">
        <v>30</v>
      </c>
      <c r="B356">
        <v>2022</v>
      </c>
      <c r="C356" t="s">
        <v>46</v>
      </c>
      <c r="D356" t="s">
        <v>32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v>182.8</v>
      </c>
      <c r="W356">
        <v>176.4</v>
      </c>
      <c r="X356">
        <v>183.5</v>
      </c>
      <c r="Y356">
        <v>167.8</v>
      </c>
      <c r="Z356">
        <v>171.2</v>
      </c>
      <c r="AA356">
        <v>177.3</v>
      </c>
      <c r="AB356">
        <v>175.7</v>
      </c>
      <c r="AC356">
        <v>175.5</v>
      </c>
      <c r="AD356">
        <v>177.1</v>
      </c>
      <c r="AE356">
        <f t="shared" si="85"/>
        <v>174.4</v>
      </c>
      <c r="AF356" t="str">
        <f t="shared" si="84"/>
        <v>NA</v>
      </c>
      <c r="AG356">
        <f t="shared" si="86"/>
        <v>177.3</v>
      </c>
      <c r="AH356">
        <f t="shared" si="87"/>
        <v>182.8</v>
      </c>
      <c r="AI356">
        <f t="shared" si="88"/>
        <v>183.5</v>
      </c>
      <c r="AJ356">
        <f t="shared" si="88"/>
        <v>167.8</v>
      </c>
      <c r="AK356">
        <f t="shared" si="89"/>
        <v>181.75</v>
      </c>
      <c r="AL356">
        <f t="shared" si="90"/>
        <v>171.2</v>
      </c>
      <c r="AM356">
        <f t="shared" si="91"/>
        <v>195.9</v>
      </c>
      <c r="AN356">
        <f t="shared" si="92"/>
        <v>175.95</v>
      </c>
      <c r="AO356">
        <f t="shared" si="93"/>
        <v>178.95555555555558</v>
      </c>
    </row>
    <row r="357" spans="1:41" x14ac:dyDescent="0.45">
      <c r="A357" t="s">
        <v>33</v>
      </c>
      <c r="B357">
        <v>2022</v>
      </c>
      <c r="C357" t="s">
        <v>46</v>
      </c>
      <c r="D357">
        <v>170.7</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180.6</v>
      </c>
      <c r="W357">
        <v>167.3</v>
      </c>
      <c r="X357">
        <v>177.2</v>
      </c>
      <c r="Y357">
        <v>159.4</v>
      </c>
      <c r="Z357">
        <v>167.1</v>
      </c>
      <c r="AA357">
        <v>171.8</v>
      </c>
      <c r="AB357">
        <v>176</v>
      </c>
      <c r="AC357">
        <v>168.2</v>
      </c>
      <c r="AD357">
        <v>174.1</v>
      </c>
      <c r="AE357">
        <f t="shared" si="85"/>
        <v>178.6</v>
      </c>
      <c r="AF357">
        <f t="shared" si="84"/>
        <v>170.7</v>
      </c>
      <c r="AG357">
        <f t="shared" si="86"/>
        <v>171.8</v>
      </c>
      <c r="AH357">
        <f t="shared" si="87"/>
        <v>180.6</v>
      </c>
      <c r="AI357">
        <f t="shared" si="88"/>
        <v>177.2</v>
      </c>
      <c r="AJ357">
        <f t="shared" si="88"/>
        <v>159.4</v>
      </c>
      <c r="AK357">
        <f t="shared" si="89"/>
        <v>175.85</v>
      </c>
      <c r="AL357">
        <f t="shared" si="90"/>
        <v>167.1</v>
      </c>
      <c r="AM357">
        <f t="shared" si="91"/>
        <v>201.1</v>
      </c>
      <c r="AN357">
        <f t="shared" si="92"/>
        <v>167.75</v>
      </c>
      <c r="AO357">
        <f t="shared" si="93"/>
        <v>175.00999999999996</v>
      </c>
    </row>
    <row r="358" spans="1:41" x14ac:dyDescent="0.45">
      <c r="A358" t="s">
        <v>34</v>
      </c>
      <c r="B358">
        <v>2022</v>
      </c>
      <c r="C358" t="s">
        <v>46</v>
      </c>
      <c r="D358">
        <v>170.7</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182</v>
      </c>
      <c r="W358">
        <v>172.1</v>
      </c>
      <c r="X358">
        <v>181.1</v>
      </c>
      <c r="Y358">
        <v>163.4</v>
      </c>
      <c r="Z358">
        <v>168.9</v>
      </c>
      <c r="AA358">
        <v>174.1</v>
      </c>
      <c r="AB358">
        <v>175.8</v>
      </c>
      <c r="AC358">
        <v>172</v>
      </c>
      <c r="AD358">
        <v>175.7</v>
      </c>
      <c r="AE358">
        <f t="shared" si="85"/>
        <v>175.9</v>
      </c>
      <c r="AF358">
        <f t="shared" si="84"/>
        <v>170.7</v>
      </c>
      <c r="AG358">
        <f t="shared" si="86"/>
        <v>174.1</v>
      </c>
      <c r="AH358">
        <f t="shared" si="87"/>
        <v>182</v>
      </c>
      <c r="AI358">
        <f t="shared" si="88"/>
        <v>181.1</v>
      </c>
      <c r="AJ358">
        <f t="shared" si="88"/>
        <v>163.4</v>
      </c>
      <c r="AK358">
        <f t="shared" si="89"/>
        <v>179.4</v>
      </c>
      <c r="AL358">
        <f t="shared" si="90"/>
        <v>168.9</v>
      </c>
      <c r="AM358">
        <f t="shared" si="91"/>
        <v>197.3</v>
      </c>
      <c r="AN358">
        <f t="shared" si="92"/>
        <v>172.05</v>
      </c>
      <c r="AO358">
        <f t="shared" si="93"/>
        <v>176.48500000000001</v>
      </c>
    </row>
    <row r="359" spans="1:41" x14ac:dyDescent="0.45">
      <c r="A359" t="s">
        <v>30</v>
      </c>
      <c r="B359">
        <v>2023</v>
      </c>
      <c r="C359" t="s">
        <v>31</v>
      </c>
      <c r="D359" t="s">
        <v>32</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v>183.2</v>
      </c>
      <c r="W359">
        <v>177.2</v>
      </c>
      <c r="X359">
        <v>184.7</v>
      </c>
      <c r="Y359">
        <v>168.2</v>
      </c>
      <c r="Z359">
        <v>171.8</v>
      </c>
      <c r="AA359">
        <v>177.8</v>
      </c>
      <c r="AB359">
        <v>178.4</v>
      </c>
      <c r="AC359">
        <v>176.5</v>
      </c>
      <c r="AD359">
        <v>177.8</v>
      </c>
      <c r="AE359">
        <f t="shared" si="85"/>
        <v>175</v>
      </c>
      <c r="AF359" t="str">
        <f t="shared" si="84"/>
        <v>NA</v>
      </c>
      <c r="AG359">
        <f t="shared" si="86"/>
        <v>177.8</v>
      </c>
      <c r="AH359">
        <f t="shared" si="87"/>
        <v>183.2</v>
      </c>
      <c r="AI359">
        <f t="shared" si="88"/>
        <v>184.7</v>
      </c>
      <c r="AJ359">
        <f t="shared" si="88"/>
        <v>168.2</v>
      </c>
      <c r="AK359">
        <f t="shared" si="89"/>
        <v>183.5</v>
      </c>
      <c r="AL359">
        <f t="shared" si="90"/>
        <v>171.8</v>
      </c>
      <c r="AM359">
        <f t="shared" si="91"/>
        <v>196.9</v>
      </c>
      <c r="AN359">
        <f t="shared" si="92"/>
        <v>176.85</v>
      </c>
      <c r="AO359">
        <f t="shared" si="93"/>
        <v>179.77222222222224</v>
      </c>
    </row>
    <row r="360" spans="1:41" x14ac:dyDescent="0.45">
      <c r="A360" t="s">
        <v>33</v>
      </c>
      <c r="B360">
        <v>2023</v>
      </c>
      <c r="C360" t="s">
        <v>31</v>
      </c>
      <c r="D360">
        <v>172.1</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180.1</v>
      </c>
      <c r="W360">
        <v>168</v>
      </c>
      <c r="X360">
        <v>178.5</v>
      </c>
      <c r="Y360">
        <v>159.5</v>
      </c>
      <c r="Z360">
        <v>167.8</v>
      </c>
      <c r="AA360">
        <v>171.8</v>
      </c>
      <c r="AB360">
        <v>178.8</v>
      </c>
      <c r="AC360">
        <v>168.9</v>
      </c>
      <c r="AD360">
        <v>174.9</v>
      </c>
      <c r="AE360">
        <f t="shared" si="85"/>
        <v>179.5</v>
      </c>
      <c r="AF360">
        <f t="shared" si="84"/>
        <v>172.1</v>
      </c>
      <c r="AG360">
        <f t="shared" si="86"/>
        <v>171.8</v>
      </c>
      <c r="AH360">
        <f t="shared" si="87"/>
        <v>180.1</v>
      </c>
      <c r="AI360">
        <f t="shared" si="88"/>
        <v>178.5</v>
      </c>
      <c r="AJ360">
        <f t="shared" si="88"/>
        <v>159.5</v>
      </c>
      <c r="AK360">
        <f t="shared" si="89"/>
        <v>177.7</v>
      </c>
      <c r="AL360">
        <f t="shared" si="90"/>
        <v>167.8</v>
      </c>
      <c r="AM360">
        <f t="shared" si="91"/>
        <v>201.6</v>
      </c>
      <c r="AN360">
        <f t="shared" si="92"/>
        <v>168.45</v>
      </c>
      <c r="AO360">
        <f t="shared" si="93"/>
        <v>175.70499999999998</v>
      </c>
    </row>
    <row r="361" spans="1:41" x14ac:dyDescent="0.45">
      <c r="A361" t="s">
        <v>34</v>
      </c>
      <c r="B361">
        <v>2023</v>
      </c>
      <c r="C361" t="s">
        <v>31</v>
      </c>
      <c r="D361">
        <v>172.1</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182</v>
      </c>
      <c r="W361">
        <v>172.9</v>
      </c>
      <c r="X361">
        <v>182.3</v>
      </c>
      <c r="Y361">
        <v>163.6</v>
      </c>
      <c r="Z361">
        <v>169.5</v>
      </c>
      <c r="AA361">
        <v>174.3</v>
      </c>
      <c r="AB361">
        <v>178.6</v>
      </c>
      <c r="AC361">
        <v>172.8</v>
      </c>
      <c r="AD361">
        <v>176.5</v>
      </c>
      <c r="AE361">
        <f t="shared" si="85"/>
        <v>176.7</v>
      </c>
      <c r="AF361">
        <f t="shared" si="84"/>
        <v>172.1</v>
      </c>
      <c r="AG361">
        <f t="shared" si="86"/>
        <v>174.3</v>
      </c>
      <c r="AH361">
        <f t="shared" si="87"/>
        <v>182</v>
      </c>
      <c r="AI361">
        <f t="shared" si="88"/>
        <v>182.3</v>
      </c>
      <c r="AJ361">
        <f t="shared" si="88"/>
        <v>163.6</v>
      </c>
      <c r="AK361">
        <f t="shared" si="89"/>
        <v>181.2</v>
      </c>
      <c r="AL361">
        <f t="shared" si="90"/>
        <v>169.5</v>
      </c>
      <c r="AM361">
        <f t="shared" si="91"/>
        <v>198.2</v>
      </c>
      <c r="AN361">
        <f t="shared" si="92"/>
        <v>172.85000000000002</v>
      </c>
      <c r="AO361">
        <f t="shared" si="93"/>
        <v>177.27500000000001</v>
      </c>
    </row>
    <row r="362" spans="1:41" x14ac:dyDescent="0.45">
      <c r="A362" t="s">
        <v>30</v>
      </c>
      <c r="B362">
        <v>2023</v>
      </c>
      <c r="C362" t="s">
        <v>35</v>
      </c>
      <c r="D362" t="s">
        <v>32</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v>181.6</v>
      </c>
      <c r="W362">
        <v>178.6</v>
      </c>
      <c r="X362">
        <v>186.6</v>
      </c>
      <c r="Y362">
        <v>169</v>
      </c>
      <c r="Z362">
        <v>172.8</v>
      </c>
      <c r="AA362">
        <v>178.5</v>
      </c>
      <c r="AB362">
        <v>180.7</v>
      </c>
      <c r="AC362">
        <v>177.9</v>
      </c>
      <c r="AD362">
        <v>178</v>
      </c>
      <c r="AE362">
        <f t="shared" si="85"/>
        <v>174.8</v>
      </c>
      <c r="AF362" t="str">
        <f t="shared" si="84"/>
        <v>NA</v>
      </c>
      <c r="AG362">
        <f t="shared" si="86"/>
        <v>178.5</v>
      </c>
      <c r="AH362">
        <f t="shared" si="87"/>
        <v>181.6</v>
      </c>
      <c r="AI362">
        <f t="shared" si="88"/>
        <v>186.6</v>
      </c>
      <c r="AJ362">
        <f t="shared" si="88"/>
        <v>169</v>
      </c>
      <c r="AK362">
        <f t="shared" si="89"/>
        <v>185.14999999999998</v>
      </c>
      <c r="AL362">
        <f t="shared" si="90"/>
        <v>172.8</v>
      </c>
      <c r="AM362">
        <f t="shared" si="91"/>
        <v>198.3</v>
      </c>
      <c r="AN362">
        <f t="shared" si="92"/>
        <v>178.25</v>
      </c>
      <c r="AO362">
        <f t="shared" si="93"/>
        <v>180.55555555555554</v>
      </c>
    </row>
    <row r="363" spans="1:41" x14ac:dyDescent="0.45">
      <c r="A363" t="s">
        <v>33</v>
      </c>
      <c r="B363">
        <v>2023</v>
      </c>
      <c r="C363" t="s">
        <v>35</v>
      </c>
      <c r="D363">
        <v>173.5</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182.8</v>
      </c>
      <c r="W363">
        <v>169.2</v>
      </c>
      <c r="X363">
        <v>180.8</v>
      </c>
      <c r="Y363">
        <v>159.80000000000001</v>
      </c>
      <c r="Z363">
        <v>168.4</v>
      </c>
      <c r="AA363">
        <v>172.5</v>
      </c>
      <c r="AB363">
        <v>181.4</v>
      </c>
      <c r="AC363">
        <v>170</v>
      </c>
      <c r="AD363">
        <v>176.3</v>
      </c>
      <c r="AE363">
        <f t="shared" si="85"/>
        <v>180.7</v>
      </c>
      <c r="AF363">
        <f t="shared" si="84"/>
        <v>173.5</v>
      </c>
      <c r="AG363">
        <f t="shared" si="86"/>
        <v>172.5</v>
      </c>
      <c r="AH363">
        <f t="shared" si="87"/>
        <v>182.8</v>
      </c>
      <c r="AI363">
        <f t="shared" si="88"/>
        <v>180.8</v>
      </c>
      <c r="AJ363">
        <f t="shared" si="88"/>
        <v>159.80000000000001</v>
      </c>
      <c r="AK363">
        <f t="shared" si="89"/>
        <v>179.8</v>
      </c>
      <c r="AL363">
        <f t="shared" si="90"/>
        <v>168.4</v>
      </c>
      <c r="AM363">
        <f t="shared" si="91"/>
        <v>202.7</v>
      </c>
      <c r="AN363">
        <f t="shared" si="92"/>
        <v>169.6</v>
      </c>
      <c r="AO363">
        <f t="shared" si="93"/>
        <v>177.06</v>
      </c>
    </row>
    <row r="364" spans="1:41" x14ac:dyDescent="0.45">
      <c r="A364" t="s">
        <v>34</v>
      </c>
      <c r="B364">
        <v>2023</v>
      </c>
      <c r="C364" t="s">
        <v>35</v>
      </c>
      <c r="D364">
        <v>173.5</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182.1</v>
      </c>
      <c r="W364">
        <v>174.2</v>
      </c>
      <c r="X364">
        <v>184.4</v>
      </c>
      <c r="Y364">
        <v>164.2</v>
      </c>
      <c r="Z364">
        <v>170.3</v>
      </c>
      <c r="AA364">
        <v>175</v>
      </c>
      <c r="AB364">
        <v>181</v>
      </c>
      <c r="AC364">
        <v>174.1</v>
      </c>
      <c r="AD364">
        <v>177.2</v>
      </c>
      <c r="AE364">
        <f t="shared" si="85"/>
        <v>177</v>
      </c>
      <c r="AF364">
        <f t="shared" si="84"/>
        <v>173.5</v>
      </c>
      <c r="AG364">
        <f t="shared" si="86"/>
        <v>175</v>
      </c>
      <c r="AH364">
        <f t="shared" si="87"/>
        <v>182.1</v>
      </c>
      <c r="AI364">
        <f t="shared" si="88"/>
        <v>184.4</v>
      </c>
      <c r="AJ364">
        <f t="shared" si="88"/>
        <v>164.2</v>
      </c>
      <c r="AK364">
        <f t="shared" si="89"/>
        <v>183.05</v>
      </c>
      <c r="AL364">
        <f t="shared" si="90"/>
        <v>170.3</v>
      </c>
      <c r="AM364">
        <f t="shared" si="91"/>
        <v>199.5</v>
      </c>
      <c r="AN364">
        <f t="shared" si="92"/>
        <v>174.14999999999998</v>
      </c>
      <c r="AO364">
        <f t="shared" si="93"/>
        <v>178.32</v>
      </c>
    </row>
    <row r="365" spans="1:41" x14ac:dyDescent="0.45">
      <c r="A365" t="s">
        <v>30</v>
      </c>
      <c r="B365">
        <v>2023</v>
      </c>
      <c r="C365" t="s">
        <v>36</v>
      </c>
      <c r="D365" t="s">
        <v>32</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v>181.4</v>
      </c>
      <c r="W365">
        <v>178.6</v>
      </c>
      <c r="X365">
        <v>186.6</v>
      </c>
      <c r="Y365">
        <v>169</v>
      </c>
      <c r="Z365">
        <v>172.8</v>
      </c>
      <c r="AA365">
        <v>178.5</v>
      </c>
      <c r="AB365">
        <v>180.7</v>
      </c>
      <c r="AC365">
        <v>177.9</v>
      </c>
      <c r="AD365">
        <v>178</v>
      </c>
      <c r="AE365">
        <f t="shared" si="85"/>
        <v>174.8</v>
      </c>
      <c r="AF365" t="str">
        <f t="shared" si="84"/>
        <v>NA</v>
      </c>
      <c r="AG365">
        <f t="shared" si="86"/>
        <v>178.5</v>
      </c>
      <c r="AH365">
        <f t="shared" si="87"/>
        <v>181.4</v>
      </c>
      <c r="AI365">
        <f t="shared" si="88"/>
        <v>186.6</v>
      </c>
      <c r="AJ365">
        <f t="shared" si="88"/>
        <v>169</v>
      </c>
      <c r="AK365">
        <f t="shared" si="89"/>
        <v>185.14999999999998</v>
      </c>
      <c r="AL365">
        <f t="shared" si="90"/>
        <v>172.8</v>
      </c>
      <c r="AM365">
        <f t="shared" si="91"/>
        <v>198.4</v>
      </c>
      <c r="AN365">
        <f t="shared" si="92"/>
        <v>178.25</v>
      </c>
      <c r="AO365">
        <f t="shared" si="93"/>
        <v>180.54444444444445</v>
      </c>
    </row>
    <row r="366" spans="1:41" x14ac:dyDescent="0.45">
      <c r="A366" t="s">
        <v>33</v>
      </c>
      <c r="B366">
        <v>2023</v>
      </c>
      <c r="C366" t="s">
        <v>36</v>
      </c>
      <c r="D366">
        <v>173.5</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182.6</v>
      </c>
      <c r="W366">
        <v>169.2</v>
      </c>
      <c r="X366">
        <v>180.8</v>
      </c>
      <c r="Y366">
        <v>159.80000000000001</v>
      </c>
      <c r="Z366">
        <v>168.4</v>
      </c>
      <c r="AA366">
        <v>172.5</v>
      </c>
      <c r="AB366">
        <v>181.5</v>
      </c>
      <c r="AC366">
        <v>170</v>
      </c>
      <c r="AD366">
        <v>176.3</v>
      </c>
      <c r="AE366">
        <f t="shared" si="85"/>
        <v>180.8</v>
      </c>
      <c r="AF366">
        <f t="shared" si="84"/>
        <v>173.5</v>
      </c>
      <c r="AG366">
        <f t="shared" si="86"/>
        <v>172.5</v>
      </c>
      <c r="AH366">
        <f t="shared" si="87"/>
        <v>182.6</v>
      </c>
      <c r="AI366">
        <f t="shared" si="88"/>
        <v>180.8</v>
      </c>
      <c r="AJ366">
        <f t="shared" si="88"/>
        <v>159.80000000000001</v>
      </c>
      <c r="AK366">
        <f t="shared" si="89"/>
        <v>179.85</v>
      </c>
      <c r="AL366">
        <f t="shared" si="90"/>
        <v>168.4</v>
      </c>
      <c r="AM366">
        <f t="shared" si="91"/>
        <v>202.7</v>
      </c>
      <c r="AN366">
        <f t="shared" si="92"/>
        <v>169.6</v>
      </c>
      <c r="AO366">
        <f t="shared" si="93"/>
        <v>177.05500000000001</v>
      </c>
    </row>
    <row r="367" spans="1:41" x14ac:dyDescent="0.45">
      <c r="A367" t="s">
        <v>34</v>
      </c>
      <c r="B367">
        <v>2023</v>
      </c>
      <c r="C367" t="s">
        <v>36</v>
      </c>
      <c r="D367">
        <v>173.5</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181.9</v>
      </c>
      <c r="W367">
        <v>174.2</v>
      </c>
      <c r="X367">
        <v>184.4</v>
      </c>
      <c r="Y367">
        <v>164.2</v>
      </c>
      <c r="Z367">
        <v>170.3</v>
      </c>
      <c r="AA367">
        <v>175</v>
      </c>
      <c r="AB367">
        <v>181</v>
      </c>
      <c r="AC367">
        <v>174.1</v>
      </c>
      <c r="AD367">
        <v>177.2</v>
      </c>
      <c r="AE367">
        <f t="shared" si="85"/>
        <v>177</v>
      </c>
      <c r="AF367">
        <f t="shared" si="84"/>
        <v>173.5</v>
      </c>
      <c r="AG367">
        <f t="shared" si="86"/>
        <v>175</v>
      </c>
      <c r="AH367">
        <f t="shared" si="87"/>
        <v>181.9</v>
      </c>
      <c r="AI367">
        <f t="shared" si="88"/>
        <v>184.4</v>
      </c>
      <c r="AJ367">
        <f t="shared" si="88"/>
        <v>164.2</v>
      </c>
      <c r="AK367">
        <f t="shared" si="89"/>
        <v>183.05</v>
      </c>
      <c r="AL367">
        <f t="shared" si="90"/>
        <v>170.3</v>
      </c>
      <c r="AM367">
        <f t="shared" si="91"/>
        <v>199.5</v>
      </c>
      <c r="AN367">
        <f t="shared" si="92"/>
        <v>174.14999999999998</v>
      </c>
      <c r="AO367">
        <f t="shared" si="93"/>
        <v>178.3</v>
      </c>
    </row>
    <row r="368" spans="1:41" x14ac:dyDescent="0.45">
      <c r="A368" t="s">
        <v>30</v>
      </c>
      <c r="B368">
        <v>2023</v>
      </c>
      <c r="C368" t="s">
        <v>37</v>
      </c>
      <c r="D368" t="s">
        <v>48</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v>181.5</v>
      </c>
      <c r="W368">
        <v>179.1</v>
      </c>
      <c r="X368">
        <v>187.2</v>
      </c>
      <c r="Y368">
        <v>169.4</v>
      </c>
      <c r="Z368">
        <v>173.2</v>
      </c>
      <c r="AA368">
        <v>179.4</v>
      </c>
      <c r="AB368">
        <v>183.8</v>
      </c>
      <c r="AC368">
        <v>178.9</v>
      </c>
      <c r="AD368">
        <v>178.8</v>
      </c>
      <c r="AE368">
        <f t="shared" si="85"/>
        <v>175.5</v>
      </c>
      <c r="AF368" t="str">
        <f t="shared" si="84"/>
        <v>-</v>
      </c>
      <c r="AG368">
        <f t="shared" si="86"/>
        <v>179.4</v>
      </c>
      <c r="AH368">
        <f t="shared" si="87"/>
        <v>181.5</v>
      </c>
      <c r="AI368">
        <f t="shared" si="88"/>
        <v>187.2</v>
      </c>
      <c r="AJ368">
        <f t="shared" si="88"/>
        <v>169.4</v>
      </c>
      <c r="AK368">
        <f t="shared" si="89"/>
        <v>187</v>
      </c>
      <c r="AL368">
        <f t="shared" si="90"/>
        <v>173.2</v>
      </c>
      <c r="AM368">
        <f t="shared" si="91"/>
        <v>199.5</v>
      </c>
      <c r="AN368">
        <f t="shared" si="92"/>
        <v>179</v>
      </c>
      <c r="AO368">
        <f t="shared" si="93"/>
        <v>181.3</v>
      </c>
    </row>
    <row r="369" spans="1:41" x14ac:dyDescent="0.45">
      <c r="A369" t="s">
        <v>33</v>
      </c>
      <c r="B369">
        <v>2023</v>
      </c>
      <c r="C369" t="s">
        <v>37</v>
      </c>
      <c r="D369">
        <v>175.2</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182.1</v>
      </c>
      <c r="W369">
        <v>169.6</v>
      </c>
      <c r="X369">
        <v>181.5</v>
      </c>
      <c r="Y369">
        <v>160.1</v>
      </c>
      <c r="Z369">
        <v>168.8</v>
      </c>
      <c r="AA369">
        <v>174.2</v>
      </c>
      <c r="AB369">
        <v>184.4</v>
      </c>
      <c r="AC369">
        <v>170.9</v>
      </c>
      <c r="AD369">
        <v>177.4</v>
      </c>
      <c r="AE369">
        <f t="shared" si="85"/>
        <v>182.1</v>
      </c>
      <c r="AF369">
        <f t="shared" si="84"/>
        <v>175.2</v>
      </c>
      <c r="AG369">
        <f t="shared" si="86"/>
        <v>174.2</v>
      </c>
      <c r="AH369">
        <f t="shared" si="87"/>
        <v>182.1</v>
      </c>
      <c r="AI369">
        <f t="shared" si="88"/>
        <v>181.5</v>
      </c>
      <c r="AJ369">
        <f t="shared" si="88"/>
        <v>160.1</v>
      </c>
      <c r="AK369">
        <f t="shared" si="89"/>
        <v>181.65</v>
      </c>
      <c r="AL369">
        <f t="shared" si="90"/>
        <v>168.8</v>
      </c>
      <c r="AM369">
        <f t="shared" si="91"/>
        <v>203.5</v>
      </c>
      <c r="AN369">
        <f t="shared" si="92"/>
        <v>170.25</v>
      </c>
      <c r="AO369">
        <f t="shared" si="93"/>
        <v>177.94</v>
      </c>
    </row>
    <row r="370" spans="1:41" x14ac:dyDescent="0.45">
      <c r="A370" t="s">
        <v>34</v>
      </c>
      <c r="B370">
        <v>2023</v>
      </c>
      <c r="C370" t="s">
        <v>37</v>
      </c>
      <c r="D370">
        <v>175.2</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181.7</v>
      </c>
      <c r="W370">
        <v>174.6</v>
      </c>
      <c r="X370">
        <v>185</v>
      </c>
      <c r="Y370">
        <v>164.5</v>
      </c>
      <c r="Z370">
        <v>170.7</v>
      </c>
      <c r="AA370">
        <v>176.4</v>
      </c>
      <c r="AB370">
        <v>184</v>
      </c>
      <c r="AC370">
        <v>175</v>
      </c>
      <c r="AD370">
        <v>178.1</v>
      </c>
      <c r="AE370">
        <f t="shared" si="85"/>
        <v>177.9</v>
      </c>
      <c r="AF370">
        <f t="shared" si="84"/>
        <v>175.2</v>
      </c>
      <c r="AG370">
        <f t="shared" si="86"/>
        <v>176.4</v>
      </c>
      <c r="AH370">
        <f t="shared" si="87"/>
        <v>181.7</v>
      </c>
      <c r="AI370">
        <f t="shared" si="88"/>
        <v>185</v>
      </c>
      <c r="AJ370">
        <f t="shared" si="88"/>
        <v>164.5</v>
      </c>
      <c r="AK370">
        <f t="shared" si="89"/>
        <v>184.85</v>
      </c>
      <c r="AL370">
        <f t="shared" si="90"/>
        <v>170.7</v>
      </c>
      <c r="AM370">
        <f t="shared" si="91"/>
        <v>200.6</v>
      </c>
      <c r="AN370">
        <f t="shared" si="92"/>
        <v>174.8</v>
      </c>
      <c r="AO370">
        <f t="shared" si="93"/>
        <v>179.16499999999999</v>
      </c>
    </row>
    <row r="371" spans="1:41" x14ac:dyDescent="0.45">
      <c r="A371" t="s">
        <v>30</v>
      </c>
      <c r="B371">
        <v>2023</v>
      </c>
      <c r="C371" t="s">
        <v>38</v>
      </c>
      <c r="D371" t="s">
        <v>48</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v>182.5</v>
      </c>
      <c r="W371">
        <v>179.8</v>
      </c>
      <c r="X371">
        <v>187.8</v>
      </c>
      <c r="Y371">
        <v>169.7</v>
      </c>
      <c r="Z371">
        <v>173.8</v>
      </c>
      <c r="AA371">
        <v>180.3</v>
      </c>
      <c r="AB371">
        <v>184.9</v>
      </c>
      <c r="AC371">
        <v>179.5</v>
      </c>
      <c r="AD371">
        <v>179.8</v>
      </c>
      <c r="AE371">
        <f t="shared" si="85"/>
        <v>176.8</v>
      </c>
      <c r="AF371" t="str">
        <f t="shared" si="84"/>
        <v>-</v>
      </c>
      <c r="AG371">
        <f t="shared" si="86"/>
        <v>180.3</v>
      </c>
      <c r="AH371">
        <f t="shared" si="87"/>
        <v>182.5</v>
      </c>
      <c r="AI371">
        <f t="shared" si="88"/>
        <v>187.8</v>
      </c>
      <c r="AJ371">
        <f t="shared" si="88"/>
        <v>169.7</v>
      </c>
      <c r="AK371">
        <f t="shared" si="89"/>
        <v>187.85000000000002</v>
      </c>
      <c r="AL371">
        <f t="shared" si="90"/>
        <v>173.8</v>
      </c>
      <c r="AM371">
        <f t="shared" si="91"/>
        <v>199.9</v>
      </c>
      <c r="AN371">
        <f t="shared" si="92"/>
        <v>179.65</v>
      </c>
      <c r="AO371">
        <f t="shared" si="93"/>
        <v>182.03333333333339</v>
      </c>
    </row>
    <row r="372" spans="1:41" x14ac:dyDescent="0.45">
      <c r="A372" t="s">
        <v>33</v>
      </c>
      <c r="B372">
        <v>2023</v>
      </c>
      <c r="C372" t="s">
        <v>38</v>
      </c>
      <c r="D372">
        <v>175.6</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183.4</v>
      </c>
      <c r="W372">
        <v>170.1</v>
      </c>
      <c r="X372">
        <v>182.2</v>
      </c>
      <c r="Y372">
        <v>160.4</v>
      </c>
      <c r="Z372">
        <v>169.2</v>
      </c>
      <c r="AA372">
        <v>174.8</v>
      </c>
      <c r="AB372">
        <v>185.6</v>
      </c>
      <c r="AC372">
        <v>171.6</v>
      </c>
      <c r="AD372">
        <v>178.2</v>
      </c>
      <c r="AE372">
        <f t="shared" si="85"/>
        <v>183.1</v>
      </c>
      <c r="AF372">
        <f t="shared" si="84"/>
        <v>175.6</v>
      </c>
      <c r="AG372">
        <f t="shared" si="86"/>
        <v>174.8</v>
      </c>
      <c r="AH372">
        <f t="shared" si="87"/>
        <v>183.4</v>
      </c>
      <c r="AI372">
        <f t="shared" si="88"/>
        <v>182.2</v>
      </c>
      <c r="AJ372">
        <f t="shared" si="88"/>
        <v>160.4</v>
      </c>
      <c r="AK372">
        <f t="shared" si="89"/>
        <v>182.45</v>
      </c>
      <c r="AL372">
        <f t="shared" si="90"/>
        <v>169.2</v>
      </c>
      <c r="AM372">
        <f t="shared" si="91"/>
        <v>204.2</v>
      </c>
      <c r="AN372">
        <f t="shared" si="92"/>
        <v>170.85</v>
      </c>
      <c r="AO372">
        <f t="shared" si="93"/>
        <v>178.62</v>
      </c>
    </row>
    <row r="373" spans="1:41" x14ac:dyDescent="0.45">
      <c r="A373" t="s">
        <v>34</v>
      </c>
      <c r="B373">
        <v>2023</v>
      </c>
      <c r="C373" t="s">
        <v>38</v>
      </c>
      <c r="D373">
        <v>175.6</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182.8</v>
      </c>
      <c r="W373">
        <v>175.2</v>
      </c>
      <c r="X373">
        <v>185.7</v>
      </c>
      <c r="Y373">
        <v>164.8</v>
      </c>
      <c r="Z373">
        <v>171.2</v>
      </c>
      <c r="AA373">
        <v>177.1</v>
      </c>
      <c r="AB373">
        <v>185.2</v>
      </c>
      <c r="AC373">
        <v>175.7</v>
      </c>
      <c r="AD373">
        <v>179.1</v>
      </c>
      <c r="AE373">
        <f t="shared" si="85"/>
        <v>179.1</v>
      </c>
      <c r="AF373">
        <f t="shared" si="84"/>
        <v>175.6</v>
      </c>
      <c r="AG373">
        <f t="shared" si="86"/>
        <v>177.1</v>
      </c>
      <c r="AH373">
        <f t="shared" si="87"/>
        <v>182.8</v>
      </c>
      <c r="AI373">
        <f t="shared" si="88"/>
        <v>185.7</v>
      </c>
      <c r="AJ373">
        <f t="shared" si="88"/>
        <v>164.8</v>
      </c>
      <c r="AK373">
        <f t="shared" si="89"/>
        <v>185.7</v>
      </c>
      <c r="AL373">
        <f t="shared" si="90"/>
        <v>171.2</v>
      </c>
      <c r="AM373">
        <f t="shared" si="91"/>
        <v>201</v>
      </c>
      <c r="AN373">
        <f t="shared" si="92"/>
        <v>175.45</v>
      </c>
      <c r="AO373">
        <f t="shared" si="93"/>
        <v>179.845</v>
      </c>
    </row>
    <row r="377" spans="1:41" x14ac:dyDescent="0.45">
      <c r="J377">
        <f>MAX(J74:J107)</f>
        <v>134.19999999999999</v>
      </c>
      <c r="AG377" t="s">
        <v>200</v>
      </c>
      <c r="AH377" t="s">
        <v>201</v>
      </c>
    </row>
    <row r="378" spans="1:41" x14ac:dyDescent="0.45">
      <c r="J378">
        <f>MIN(J74:J107)</f>
        <v>121.3</v>
      </c>
      <c r="AE378">
        <v>122.8</v>
      </c>
      <c r="AG378">
        <f>MAX(AE378:AE389)</f>
        <v>132.4</v>
      </c>
      <c r="AH378">
        <f>MIN(AE378:AE389)</f>
        <v>122.8</v>
      </c>
    </row>
    <row r="379" spans="1:41" x14ac:dyDescent="0.45">
      <c r="AE379">
        <v>122.8</v>
      </c>
    </row>
    <row r="380" spans="1:41" x14ac:dyDescent="0.45">
      <c r="AE380">
        <v>123.1</v>
      </c>
    </row>
    <row r="381" spans="1:41" x14ac:dyDescent="0.45">
      <c r="AE381">
        <v>123.6</v>
      </c>
    </row>
    <row r="382" spans="1:41" x14ac:dyDescent="0.45">
      <c r="AE382">
        <v>124.4</v>
      </c>
    </row>
    <row r="383" spans="1:41" x14ac:dyDescent="0.45">
      <c r="AE383">
        <v>126.6</v>
      </c>
    </row>
    <row r="384" spans="1:41" x14ac:dyDescent="0.45">
      <c r="AE384">
        <v>127.5</v>
      </c>
    </row>
    <row r="385" spans="31:31" x14ac:dyDescent="0.45">
      <c r="AE385">
        <v>129.80000000000001</v>
      </c>
    </row>
    <row r="386" spans="31:31" x14ac:dyDescent="0.45">
      <c r="AE386">
        <v>131</v>
      </c>
    </row>
    <row r="387" spans="31:31" x14ac:dyDescent="0.45">
      <c r="AE387">
        <v>131.80000000000001</v>
      </c>
    </row>
    <row r="388" spans="31:31" x14ac:dyDescent="0.45">
      <c r="AE388">
        <v>132.4</v>
      </c>
    </row>
    <row r="389" spans="31:31" x14ac:dyDescent="0.45">
      <c r="AE389">
        <v>131.4</v>
      </c>
    </row>
  </sheetData>
  <conditionalFormatting sqref="D1:D373">
    <cfRule type="cellIs" dxfId="13" priority="7" operator="equal">
      <formula>"-"</formula>
    </cfRule>
    <cfRule type="cellIs" dxfId="12" priority="8" operator="equal">
      <formula>"NA"</formula>
    </cfRule>
  </conditionalFormatting>
  <conditionalFormatting sqref="E1:O373">
    <cfRule type="containsText" dxfId="11" priority="4" operator="containsText" text="NA">
      <formula>NOT(ISERROR(SEARCH("NA",E1)))</formula>
    </cfRule>
  </conditionalFormatting>
  <conditionalFormatting sqref="Q1:AC373">
    <cfRule type="cellIs" dxfId="10" priority="1" operator="equal">
      <formula>"NA"</formula>
    </cfRule>
  </conditionalFormatting>
  <conditionalFormatting sqref="AE1:AO1">
    <cfRule type="cellIs" dxfId="9" priority="3" operator="equal">
      <formula>"NA"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1CB3-D74C-4A3B-B164-84B5210BADF0}">
  <sheetPr filterMode="1"/>
  <dimension ref="A1:AP380"/>
  <sheetViews>
    <sheetView showGridLines="0" topLeftCell="AC1" workbookViewId="0">
      <selection activeCell="AE378" sqref="AE378:AN378"/>
    </sheetView>
  </sheetViews>
  <sheetFormatPr defaultRowHeight="14.25" x14ac:dyDescent="0.45"/>
  <cols>
    <col min="1" max="1" width="10.53125" bestFit="1" customWidth="1"/>
    <col min="2" max="2" width="7.73046875" customWidth="1"/>
    <col min="3" max="3" width="9.265625" bestFit="1" customWidth="1"/>
    <col min="4" max="4" width="7.19921875" bestFit="1" customWidth="1"/>
    <col min="5" max="5" width="17.3984375" bestFit="1" customWidth="1"/>
    <col min="6" max="6" width="11.06640625" bestFit="1" customWidth="1"/>
    <col min="7" max="7" width="5.73046875" bestFit="1" customWidth="1"/>
    <col min="8" max="8" width="14.59765625" bestFit="1" customWidth="1"/>
    <col min="9" max="9" width="10.33203125" bestFit="1" customWidth="1"/>
    <col min="10" max="10" width="5.73046875" bestFit="1" customWidth="1"/>
    <col min="11" max="11" width="9.265625" bestFit="1" customWidth="1"/>
    <col min="12" max="12" width="16.53125" bestFit="1" customWidth="1"/>
    <col min="13" max="13" width="19.86328125" bestFit="1" customWidth="1"/>
    <col min="14" max="14" width="8.3984375" customWidth="1"/>
    <col min="15" max="15" width="20.1328125" bestFit="1" customWidth="1"/>
    <col min="16" max="16" width="29.1328125" bestFit="1" customWidth="1"/>
    <col min="17" max="17" width="16.19921875" bestFit="1" customWidth="1"/>
    <col min="18" max="18" width="23.3984375" bestFit="1" customWidth="1"/>
    <col min="19" max="19" width="13.59765625" customWidth="1"/>
    <col min="20" max="20" width="14.33203125" customWidth="1"/>
    <col min="21" max="21" width="26.1328125" customWidth="1"/>
    <col min="22" max="22" width="14.53125" customWidth="1"/>
    <col min="23" max="23" width="25.73046875" customWidth="1"/>
    <col min="24" max="24" width="9.06640625" customWidth="1"/>
    <col min="25" max="25" width="24.3984375" bestFit="1" customWidth="1"/>
    <col min="26" max="26" width="22.33203125" bestFit="1" customWidth="1"/>
    <col min="27" max="27" width="8.6640625" bestFit="1" customWidth="1"/>
    <col min="28" max="28" width="20.33203125" bestFit="1" customWidth="1"/>
    <col min="29" max="29" width="15.796875" customWidth="1"/>
    <col min="30" max="30" width="14.53125" customWidth="1"/>
    <col min="36" max="36" width="12.19921875" bestFit="1" customWidth="1"/>
    <col min="37" max="37" width="21.9296875" bestFit="1" customWidth="1"/>
    <col min="39" max="39" width="15.1328125" bestFit="1" customWidth="1"/>
    <col min="40" max="40" width="22.53125" bestFit="1" customWidth="1"/>
  </cols>
  <sheetData>
    <row r="1" spans="1:41" x14ac:dyDescent="0.45">
      <c r="A1" t="s">
        <v>0</v>
      </c>
      <c r="B1" t="s">
        <v>1</v>
      </c>
      <c r="C1" t="s">
        <v>2</v>
      </c>
      <c r="D1" t="s">
        <v>20</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21</v>
      </c>
      <c r="W1" t="s">
        <v>22</v>
      </c>
      <c r="X1" t="s">
        <v>23</v>
      </c>
      <c r="Y1" t="s">
        <v>24</v>
      </c>
      <c r="Z1" t="s">
        <v>25</v>
      </c>
      <c r="AA1" t="s">
        <v>26</v>
      </c>
      <c r="AB1" t="s">
        <v>27</v>
      </c>
      <c r="AC1" t="s">
        <v>28</v>
      </c>
      <c r="AD1" t="s">
        <v>29</v>
      </c>
      <c r="AE1" s="1" t="s">
        <v>49</v>
      </c>
      <c r="AF1" s="1" t="s">
        <v>20</v>
      </c>
      <c r="AG1" s="1" t="s">
        <v>26</v>
      </c>
      <c r="AH1" s="1" t="s">
        <v>50</v>
      </c>
      <c r="AI1" s="1" t="s">
        <v>23</v>
      </c>
      <c r="AJ1" s="1" t="s">
        <v>55</v>
      </c>
      <c r="AK1" s="1" t="s">
        <v>51</v>
      </c>
      <c r="AL1" s="1" t="s">
        <v>52</v>
      </c>
      <c r="AM1" s="1" t="s">
        <v>53</v>
      </c>
      <c r="AN1" s="1" t="s">
        <v>54</v>
      </c>
      <c r="AO1" s="1" t="s">
        <v>56</v>
      </c>
    </row>
    <row r="2" spans="1:41" hidden="1" x14ac:dyDescent="0.45">
      <c r="A2" t="s">
        <v>30</v>
      </c>
      <c r="B2">
        <v>2013</v>
      </c>
      <c r="C2" t="s">
        <v>31</v>
      </c>
      <c r="D2" t="s">
        <v>32</v>
      </c>
      <c r="E2">
        <v>107.5</v>
      </c>
      <c r="F2">
        <v>106.3</v>
      </c>
      <c r="G2">
        <v>108.1</v>
      </c>
      <c r="H2">
        <v>104.9</v>
      </c>
      <c r="I2">
        <v>106.1</v>
      </c>
      <c r="J2">
        <v>103.9</v>
      </c>
      <c r="K2">
        <v>101.9</v>
      </c>
      <c r="L2">
        <v>106.1</v>
      </c>
      <c r="M2">
        <v>106.8</v>
      </c>
      <c r="N2">
        <v>103.1</v>
      </c>
      <c r="O2">
        <v>104.8</v>
      </c>
      <c r="P2">
        <v>106.7</v>
      </c>
      <c r="Q2">
        <v>105.5</v>
      </c>
      <c r="R2">
        <v>105.1</v>
      </c>
      <c r="S2">
        <v>106.5</v>
      </c>
      <c r="T2">
        <v>105.8</v>
      </c>
      <c r="U2">
        <v>106.4</v>
      </c>
      <c r="V2">
        <v>105.5</v>
      </c>
      <c r="W2">
        <v>104.8</v>
      </c>
      <c r="X2">
        <v>104</v>
      </c>
      <c r="Y2">
        <v>103.3</v>
      </c>
      <c r="Z2">
        <v>103.4</v>
      </c>
      <c r="AA2">
        <v>103.8</v>
      </c>
      <c r="AB2">
        <v>104.7</v>
      </c>
      <c r="AC2">
        <v>104</v>
      </c>
      <c r="AD2">
        <v>105.1</v>
      </c>
      <c r="AE2">
        <f>Q2</f>
        <v>105.5</v>
      </c>
      <c r="AF2" t="str">
        <f>D2</f>
        <v>NA</v>
      </c>
      <c r="AG2">
        <f>AA2</f>
        <v>103.8</v>
      </c>
      <c r="AH2">
        <f>V2</f>
        <v>105.5</v>
      </c>
      <c r="AI2">
        <f>X2</f>
        <v>104</v>
      </c>
      <c r="AJ2">
        <f>Y2</f>
        <v>103.3</v>
      </c>
      <c r="AK2">
        <f>AVERAGE(U2,AB2)</f>
        <v>105.55000000000001</v>
      </c>
      <c r="AL2">
        <f>Z2</f>
        <v>103.4</v>
      </c>
      <c r="AM2">
        <f>R2</f>
        <v>105.1</v>
      </c>
      <c r="AN2">
        <f>AVERAGE(W2,AC2)</f>
        <v>104.4</v>
      </c>
      <c r="AO2">
        <f>AVERAGE(AE2:AN2)</f>
        <v>104.50555555555556</v>
      </c>
    </row>
    <row r="3" spans="1:41" hidden="1" x14ac:dyDescent="0.45">
      <c r="A3" t="s">
        <v>33</v>
      </c>
      <c r="B3">
        <v>2013</v>
      </c>
      <c r="C3" t="s">
        <v>31</v>
      </c>
      <c r="D3">
        <v>100.3</v>
      </c>
      <c r="E3">
        <v>110.5</v>
      </c>
      <c r="F3">
        <v>109.1</v>
      </c>
      <c r="G3">
        <v>113</v>
      </c>
      <c r="H3">
        <v>103.6</v>
      </c>
      <c r="I3">
        <v>103.4</v>
      </c>
      <c r="J3">
        <v>102.3</v>
      </c>
      <c r="K3">
        <v>102.9</v>
      </c>
      <c r="L3">
        <v>105.8</v>
      </c>
      <c r="M3">
        <v>105.1</v>
      </c>
      <c r="N3">
        <v>101.8</v>
      </c>
      <c r="O3">
        <v>105.1</v>
      </c>
      <c r="P3">
        <v>107.9</v>
      </c>
      <c r="Q3">
        <v>105.9</v>
      </c>
      <c r="R3">
        <v>105.2</v>
      </c>
      <c r="S3">
        <v>105.9</v>
      </c>
      <c r="T3">
        <v>105</v>
      </c>
      <c r="U3">
        <v>105.8</v>
      </c>
      <c r="V3">
        <v>105.4</v>
      </c>
      <c r="W3">
        <v>104.8</v>
      </c>
      <c r="X3">
        <v>104.1</v>
      </c>
      <c r="Y3">
        <v>103.2</v>
      </c>
      <c r="Z3">
        <v>102.9</v>
      </c>
      <c r="AA3">
        <v>103.5</v>
      </c>
      <c r="AB3">
        <v>104.3</v>
      </c>
      <c r="AC3">
        <v>103.7</v>
      </c>
      <c r="AD3">
        <v>104</v>
      </c>
      <c r="AE3">
        <f t="shared" ref="AE3:AE66" si="0">Q3</f>
        <v>105.9</v>
      </c>
      <c r="AF3">
        <f t="shared" ref="AF3:AF66" si="1">D3</f>
        <v>100.3</v>
      </c>
      <c r="AG3">
        <f t="shared" ref="AG3:AG66" si="2">AA3</f>
        <v>103.5</v>
      </c>
      <c r="AH3">
        <f t="shared" ref="AH3:AH66" si="3">V3</f>
        <v>105.4</v>
      </c>
      <c r="AI3">
        <f t="shared" ref="AI3:AI66" si="4">X3</f>
        <v>104.1</v>
      </c>
      <c r="AJ3">
        <f t="shared" ref="AJ3:AJ66" si="5">Y3</f>
        <v>103.2</v>
      </c>
      <c r="AK3">
        <f t="shared" ref="AK3:AK66" si="6">AVERAGE(U3,AB3)</f>
        <v>105.05</v>
      </c>
      <c r="AL3">
        <f t="shared" ref="AL3:AL66" si="7">Z3</f>
        <v>102.9</v>
      </c>
      <c r="AM3">
        <f t="shared" ref="AM3:AM66" si="8">R3</f>
        <v>105.2</v>
      </c>
      <c r="AN3">
        <f t="shared" ref="AN3:AN66" si="9">AVERAGE(W3,AC3)</f>
        <v>104.25</v>
      </c>
      <c r="AO3">
        <f t="shared" ref="AO3:AO66" si="10">AVERAGE(AE3:AN3)</f>
        <v>103.98000000000002</v>
      </c>
    </row>
    <row r="4" spans="1:41" hidden="1" x14ac:dyDescent="0.45">
      <c r="A4" t="s">
        <v>34</v>
      </c>
      <c r="B4">
        <v>2013</v>
      </c>
      <c r="C4" t="s">
        <v>31</v>
      </c>
      <c r="D4">
        <v>100.3</v>
      </c>
      <c r="E4">
        <v>108.4</v>
      </c>
      <c r="F4">
        <v>107.3</v>
      </c>
      <c r="G4">
        <v>110</v>
      </c>
      <c r="H4">
        <v>104.4</v>
      </c>
      <c r="I4">
        <v>105.1</v>
      </c>
      <c r="J4">
        <v>103.2</v>
      </c>
      <c r="K4">
        <v>102.2</v>
      </c>
      <c r="L4">
        <v>106</v>
      </c>
      <c r="M4">
        <v>106.2</v>
      </c>
      <c r="N4">
        <v>102.7</v>
      </c>
      <c r="O4">
        <v>104.9</v>
      </c>
      <c r="P4">
        <v>107.3</v>
      </c>
      <c r="Q4">
        <v>105.6</v>
      </c>
      <c r="R4">
        <v>105.1</v>
      </c>
      <c r="S4">
        <v>106.3</v>
      </c>
      <c r="T4">
        <v>105.5</v>
      </c>
      <c r="U4">
        <v>106.2</v>
      </c>
      <c r="V4">
        <v>105.5</v>
      </c>
      <c r="W4">
        <v>104.8</v>
      </c>
      <c r="X4">
        <v>104</v>
      </c>
      <c r="Y4">
        <v>103.2</v>
      </c>
      <c r="Z4">
        <v>103.1</v>
      </c>
      <c r="AA4">
        <v>103.6</v>
      </c>
      <c r="AB4">
        <v>104.5</v>
      </c>
      <c r="AC4">
        <v>103.9</v>
      </c>
      <c r="AD4">
        <v>104.6</v>
      </c>
      <c r="AE4">
        <f t="shared" si="0"/>
        <v>105.6</v>
      </c>
      <c r="AF4">
        <f t="shared" si="1"/>
        <v>100.3</v>
      </c>
      <c r="AG4">
        <f t="shared" si="2"/>
        <v>103.6</v>
      </c>
      <c r="AH4">
        <f t="shared" si="3"/>
        <v>105.5</v>
      </c>
      <c r="AI4">
        <f t="shared" si="4"/>
        <v>104</v>
      </c>
      <c r="AJ4">
        <f t="shared" si="5"/>
        <v>103.2</v>
      </c>
      <c r="AK4">
        <f t="shared" si="6"/>
        <v>105.35</v>
      </c>
      <c r="AL4">
        <f t="shared" si="7"/>
        <v>103.1</v>
      </c>
      <c r="AM4">
        <f t="shared" si="8"/>
        <v>105.1</v>
      </c>
      <c r="AN4">
        <f t="shared" si="9"/>
        <v>104.35</v>
      </c>
      <c r="AO4">
        <f t="shared" si="10"/>
        <v>104.01000000000002</v>
      </c>
    </row>
    <row r="5" spans="1:41" hidden="1" x14ac:dyDescent="0.45">
      <c r="A5" t="s">
        <v>30</v>
      </c>
      <c r="B5">
        <v>2013</v>
      </c>
      <c r="C5" t="s">
        <v>35</v>
      </c>
      <c r="D5" t="s">
        <v>32</v>
      </c>
      <c r="E5">
        <v>109.2</v>
      </c>
      <c r="F5">
        <v>108.7</v>
      </c>
      <c r="G5">
        <v>110.2</v>
      </c>
      <c r="H5">
        <v>105.4</v>
      </c>
      <c r="I5">
        <v>106.7</v>
      </c>
      <c r="J5">
        <v>104</v>
      </c>
      <c r="K5">
        <v>102.4</v>
      </c>
      <c r="L5">
        <v>105.9</v>
      </c>
      <c r="M5">
        <v>105.7</v>
      </c>
      <c r="N5">
        <v>103.1</v>
      </c>
      <c r="O5">
        <v>105.1</v>
      </c>
      <c r="P5">
        <v>107.7</v>
      </c>
      <c r="Q5">
        <v>106.3</v>
      </c>
      <c r="R5">
        <v>105.6</v>
      </c>
      <c r="S5">
        <v>107.1</v>
      </c>
      <c r="T5">
        <v>106.3</v>
      </c>
      <c r="U5">
        <v>107</v>
      </c>
      <c r="V5">
        <v>106.2</v>
      </c>
      <c r="W5">
        <v>105.2</v>
      </c>
      <c r="X5">
        <v>104.4</v>
      </c>
      <c r="Y5">
        <v>103.9</v>
      </c>
      <c r="Z5">
        <v>104</v>
      </c>
      <c r="AA5">
        <v>104.1</v>
      </c>
      <c r="AB5">
        <v>104.6</v>
      </c>
      <c r="AC5">
        <v>104.4</v>
      </c>
      <c r="AD5">
        <v>105.8</v>
      </c>
      <c r="AE5">
        <f t="shared" si="0"/>
        <v>106.3</v>
      </c>
      <c r="AF5" t="str">
        <f t="shared" si="1"/>
        <v>NA</v>
      </c>
      <c r="AG5">
        <f t="shared" si="2"/>
        <v>104.1</v>
      </c>
      <c r="AH5">
        <f t="shared" si="3"/>
        <v>106.2</v>
      </c>
      <c r="AI5">
        <f t="shared" si="4"/>
        <v>104.4</v>
      </c>
      <c r="AJ5">
        <f t="shared" si="5"/>
        <v>103.9</v>
      </c>
      <c r="AK5">
        <f t="shared" si="6"/>
        <v>105.8</v>
      </c>
      <c r="AL5">
        <f t="shared" si="7"/>
        <v>104</v>
      </c>
      <c r="AM5">
        <f t="shared" si="8"/>
        <v>105.6</v>
      </c>
      <c r="AN5">
        <f t="shared" si="9"/>
        <v>104.80000000000001</v>
      </c>
      <c r="AO5">
        <f t="shared" si="10"/>
        <v>105.01111111111111</v>
      </c>
    </row>
    <row r="6" spans="1:41" hidden="1" x14ac:dyDescent="0.45">
      <c r="A6" t="s">
        <v>33</v>
      </c>
      <c r="B6">
        <v>2013</v>
      </c>
      <c r="C6" t="s">
        <v>35</v>
      </c>
      <c r="D6">
        <v>100.4</v>
      </c>
      <c r="E6">
        <v>112.9</v>
      </c>
      <c r="F6">
        <v>112.9</v>
      </c>
      <c r="G6">
        <v>116.9</v>
      </c>
      <c r="H6">
        <v>104</v>
      </c>
      <c r="I6">
        <v>103.5</v>
      </c>
      <c r="J6">
        <v>103.1</v>
      </c>
      <c r="K6">
        <v>104.9</v>
      </c>
      <c r="L6">
        <v>104.1</v>
      </c>
      <c r="M6">
        <v>103.8</v>
      </c>
      <c r="N6">
        <v>102.3</v>
      </c>
      <c r="O6">
        <v>106</v>
      </c>
      <c r="P6">
        <v>109</v>
      </c>
      <c r="Q6">
        <v>107.2</v>
      </c>
      <c r="R6">
        <v>106</v>
      </c>
      <c r="S6">
        <v>106.6</v>
      </c>
      <c r="T6">
        <v>105.5</v>
      </c>
      <c r="U6">
        <v>106.4</v>
      </c>
      <c r="V6">
        <v>105.7</v>
      </c>
      <c r="W6">
        <v>105.2</v>
      </c>
      <c r="X6">
        <v>104.7</v>
      </c>
      <c r="Y6">
        <v>104.4</v>
      </c>
      <c r="Z6">
        <v>103.3</v>
      </c>
      <c r="AA6">
        <v>103.7</v>
      </c>
      <c r="AB6">
        <v>104.3</v>
      </c>
      <c r="AC6">
        <v>104.3</v>
      </c>
      <c r="AD6">
        <v>104.7</v>
      </c>
      <c r="AE6">
        <f t="shared" si="0"/>
        <v>107.2</v>
      </c>
      <c r="AF6">
        <f t="shared" si="1"/>
        <v>100.4</v>
      </c>
      <c r="AG6">
        <f t="shared" si="2"/>
        <v>103.7</v>
      </c>
      <c r="AH6">
        <f t="shared" si="3"/>
        <v>105.7</v>
      </c>
      <c r="AI6">
        <f t="shared" si="4"/>
        <v>104.7</v>
      </c>
      <c r="AJ6">
        <f t="shared" si="5"/>
        <v>104.4</v>
      </c>
      <c r="AK6">
        <f t="shared" si="6"/>
        <v>105.35</v>
      </c>
      <c r="AL6">
        <f t="shared" si="7"/>
        <v>103.3</v>
      </c>
      <c r="AM6">
        <f t="shared" si="8"/>
        <v>106</v>
      </c>
      <c r="AN6">
        <f t="shared" si="9"/>
        <v>104.75</v>
      </c>
      <c r="AO6">
        <f t="shared" si="10"/>
        <v>104.55</v>
      </c>
    </row>
    <row r="7" spans="1:41" hidden="1" x14ac:dyDescent="0.45">
      <c r="A7" t="s">
        <v>34</v>
      </c>
      <c r="B7">
        <v>2013</v>
      </c>
      <c r="C7" t="s">
        <v>35</v>
      </c>
      <c r="D7">
        <v>100.4</v>
      </c>
      <c r="E7">
        <v>110.4</v>
      </c>
      <c r="F7">
        <v>110.2</v>
      </c>
      <c r="G7">
        <v>112.8</v>
      </c>
      <c r="H7">
        <v>104.9</v>
      </c>
      <c r="I7">
        <v>105.5</v>
      </c>
      <c r="J7">
        <v>103.6</v>
      </c>
      <c r="K7">
        <v>103.2</v>
      </c>
      <c r="L7">
        <v>105.3</v>
      </c>
      <c r="M7">
        <v>105.1</v>
      </c>
      <c r="N7">
        <v>102.8</v>
      </c>
      <c r="O7">
        <v>105.5</v>
      </c>
      <c r="P7">
        <v>108.3</v>
      </c>
      <c r="Q7">
        <v>106.6</v>
      </c>
      <c r="R7">
        <v>105.7</v>
      </c>
      <c r="S7">
        <v>106.9</v>
      </c>
      <c r="T7">
        <v>106</v>
      </c>
      <c r="U7">
        <v>106.8</v>
      </c>
      <c r="V7">
        <v>106</v>
      </c>
      <c r="W7">
        <v>105.2</v>
      </c>
      <c r="X7">
        <v>104.5</v>
      </c>
      <c r="Y7">
        <v>104.2</v>
      </c>
      <c r="Z7">
        <v>103.6</v>
      </c>
      <c r="AA7">
        <v>103.9</v>
      </c>
      <c r="AB7">
        <v>104.5</v>
      </c>
      <c r="AC7">
        <v>104.4</v>
      </c>
      <c r="AD7">
        <v>105.3</v>
      </c>
      <c r="AE7">
        <f t="shared" si="0"/>
        <v>106.6</v>
      </c>
      <c r="AF7">
        <f t="shared" si="1"/>
        <v>100.4</v>
      </c>
      <c r="AG7">
        <f t="shared" si="2"/>
        <v>103.9</v>
      </c>
      <c r="AH7">
        <f t="shared" si="3"/>
        <v>106</v>
      </c>
      <c r="AI7">
        <f t="shared" si="4"/>
        <v>104.5</v>
      </c>
      <c r="AJ7">
        <f t="shared" si="5"/>
        <v>104.2</v>
      </c>
      <c r="AK7">
        <f t="shared" si="6"/>
        <v>105.65</v>
      </c>
      <c r="AL7">
        <f t="shared" si="7"/>
        <v>103.6</v>
      </c>
      <c r="AM7">
        <f t="shared" si="8"/>
        <v>105.7</v>
      </c>
      <c r="AN7">
        <f t="shared" si="9"/>
        <v>104.80000000000001</v>
      </c>
      <c r="AO7">
        <f t="shared" si="10"/>
        <v>104.53500000000001</v>
      </c>
    </row>
    <row r="8" spans="1:41" hidden="1" x14ac:dyDescent="0.45">
      <c r="A8" t="s">
        <v>30</v>
      </c>
      <c r="B8">
        <v>2013</v>
      </c>
      <c r="C8" t="s">
        <v>36</v>
      </c>
      <c r="D8" t="s">
        <v>32</v>
      </c>
      <c r="E8">
        <v>110.2</v>
      </c>
      <c r="F8">
        <v>108.8</v>
      </c>
      <c r="G8">
        <v>109.9</v>
      </c>
      <c r="H8">
        <v>105.6</v>
      </c>
      <c r="I8">
        <v>106.2</v>
      </c>
      <c r="J8">
        <v>105.7</v>
      </c>
      <c r="K8">
        <v>101.4</v>
      </c>
      <c r="L8">
        <v>105.7</v>
      </c>
      <c r="M8">
        <v>105</v>
      </c>
      <c r="N8">
        <v>103.3</v>
      </c>
      <c r="O8">
        <v>105.6</v>
      </c>
      <c r="P8">
        <v>108.2</v>
      </c>
      <c r="Q8">
        <v>106.6</v>
      </c>
      <c r="R8">
        <v>106.5</v>
      </c>
      <c r="S8">
        <v>107.6</v>
      </c>
      <c r="T8">
        <v>106.8</v>
      </c>
      <c r="U8">
        <v>107.5</v>
      </c>
      <c r="V8">
        <v>106.1</v>
      </c>
      <c r="W8">
        <v>105.6</v>
      </c>
      <c r="X8">
        <v>104.7</v>
      </c>
      <c r="Y8">
        <v>104.6</v>
      </c>
      <c r="Z8">
        <v>104</v>
      </c>
      <c r="AA8">
        <v>104.3</v>
      </c>
      <c r="AB8">
        <v>104.3</v>
      </c>
      <c r="AC8">
        <v>104.6</v>
      </c>
      <c r="AD8">
        <v>106</v>
      </c>
      <c r="AE8">
        <f t="shared" si="0"/>
        <v>106.6</v>
      </c>
      <c r="AF8" t="str">
        <f t="shared" si="1"/>
        <v>NA</v>
      </c>
      <c r="AG8">
        <f t="shared" si="2"/>
        <v>104.3</v>
      </c>
      <c r="AH8">
        <f t="shared" si="3"/>
        <v>106.1</v>
      </c>
      <c r="AI8">
        <f t="shared" si="4"/>
        <v>104.7</v>
      </c>
      <c r="AJ8">
        <f t="shared" si="5"/>
        <v>104.6</v>
      </c>
      <c r="AK8">
        <f t="shared" si="6"/>
        <v>105.9</v>
      </c>
      <c r="AL8">
        <f t="shared" si="7"/>
        <v>104</v>
      </c>
      <c r="AM8">
        <f t="shared" si="8"/>
        <v>106.5</v>
      </c>
      <c r="AN8">
        <f t="shared" si="9"/>
        <v>105.1</v>
      </c>
      <c r="AO8">
        <f t="shared" si="10"/>
        <v>105.3111111111111</v>
      </c>
    </row>
    <row r="9" spans="1:41" hidden="1" x14ac:dyDescent="0.45">
      <c r="A9" t="s">
        <v>33</v>
      </c>
      <c r="B9">
        <v>2013</v>
      </c>
      <c r="C9" t="s">
        <v>36</v>
      </c>
      <c r="D9">
        <v>100.4</v>
      </c>
      <c r="E9">
        <v>113.9</v>
      </c>
      <c r="F9">
        <v>111.4</v>
      </c>
      <c r="G9">
        <v>113.2</v>
      </c>
      <c r="H9">
        <v>104.3</v>
      </c>
      <c r="I9">
        <v>102.7</v>
      </c>
      <c r="J9">
        <v>104.9</v>
      </c>
      <c r="K9">
        <v>103.8</v>
      </c>
      <c r="L9">
        <v>103.5</v>
      </c>
      <c r="M9">
        <v>102.6</v>
      </c>
      <c r="N9">
        <v>102.4</v>
      </c>
      <c r="O9">
        <v>107</v>
      </c>
      <c r="P9">
        <v>109.8</v>
      </c>
      <c r="Q9">
        <v>107.3</v>
      </c>
      <c r="R9">
        <v>106.8</v>
      </c>
      <c r="S9">
        <v>107.2</v>
      </c>
      <c r="T9">
        <v>106</v>
      </c>
      <c r="U9">
        <v>107</v>
      </c>
      <c r="V9">
        <v>106</v>
      </c>
      <c r="W9">
        <v>105.7</v>
      </c>
      <c r="X9">
        <v>105.2</v>
      </c>
      <c r="Y9">
        <v>105.5</v>
      </c>
      <c r="Z9">
        <v>103.5</v>
      </c>
      <c r="AA9">
        <v>103.8</v>
      </c>
      <c r="AB9">
        <v>104.2</v>
      </c>
      <c r="AC9">
        <v>104.9</v>
      </c>
      <c r="AD9">
        <v>105</v>
      </c>
      <c r="AE9">
        <f t="shared" si="0"/>
        <v>107.3</v>
      </c>
      <c r="AF9">
        <f t="shared" si="1"/>
        <v>100.4</v>
      </c>
      <c r="AG9">
        <f t="shared" si="2"/>
        <v>103.8</v>
      </c>
      <c r="AH9">
        <f t="shared" si="3"/>
        <v>106</v>
      </c>
      <c r="AI9">
        <f t="shared" si="4"/>
        <v>105.2</v>
      </c>
      <c r="AJ9">
        <f t="shared" si="5"/>
        <v>105.5</v>
      </c>
      <c r="AK9">
        <f t="shared" si="6"/>
        <v>105.6</v>
      </c>
      <c r="AL9">
        <f t="shared" si="7"/>
        <v>103.5</v>
      </c>
      <c r="AM9">
        <f t="shared" si="8"/>
        <v>106.8</v>
      </c>
      <c r="AN9">
        <f t="shared" si="9"/>
        <v>105.30000000000001</v>
      </c>
      <c r="AO9">
        <f t="shared" si="10"/>
        <v>104.94000000000001</v>
      </c>
    </row>
    <row r="10" spans="1:41" hidden="1" x14ac:dyDescent="0.45">
      <c r="A10" t="s">
        <v>34</v>
      </c>
      <c r="B10">
        <v>2013</v>
      </c>
      <c r="C10" t="s">
        <v>36</v>
      </c>
      <c r="D10">
        <v>100.4</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106.1</v>
      </c>
      <c r="W10">
        <v>105.6</v>
      </c>
      <c r="X10">
        <v>104.9</v>
      </c>
      <c r="Y10">
        <v>105.1</v>
      </c>
      <c r="Z10">
        <v>103.7</v>
      </c>
      <c r="AA10">
        <v>104</v>
      </c>
      <c r="AB10">
        <v>104.3</v>
      </c>
      <c r="AC10">
        <v>104.7</v>
      </c>
      <c r="AD10">
        <v>105.5</v>
      </c>
      <c r="AE10">
        <f t="shared" si="0"/>
        <v>106.9</v>
      </c>
      <c r="AF10">
        <f t="shared" si="1"/>
        <v>100.4</v>
      </c>
      <c r="AG10">
        <f t="shared" si="2"/>
        <v>104</v>
      </c>
      <c r="AH10">
        <f t="shared" si="3"/>
        <v>106.1</v>
      </c>
      <c r="AI10">
        <f t="shared" si="4"/>
        <v>104.9</v>
      </c>
      <c r="AJ10">
        <f t="shared" si="5"/>
        <v>105.1</v>
      </c>
      <c r="AK10">
        <f t="shared" si="6"/>
        <v>105.8</v>
      </c>
      <c r="AL10">
        <f t="shared" si="7"/>
        <v>103.7</v>
      </c>
      <c r="AM10">
        <f t="shared" si="8"/>
        <v>106.6</v>
      </c>
      <c r="AN10">
        <f t="shared" si="9"/>
        <v>105.15</v>
      </c>
      <c r="AO10">
        <f t="shared" si="10"/>
        <v>104.86500000000001</v>
      </c>
    </row>
    <row r="11" spans="1:41" hidden="1" x14ac:dyDescent="0.45">
      <c r="A11" t="s">
        <v>30</v>
      </c>
      <c r="B11">
        <v>2013</v>
      </c>
      <c r="C11" t="s">
        <v>37</v>
      </c>
      <c r="D11" t="s">
        <v>32</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v>106.5</v>
      </c>
      <c r="W11">
        <v>106.1</v>
      </c>
      <c r="X11">
        <v>105.1</v>
      </c>
      <c r="Y11">
        <v>104.4</v>
      </c>
      <c r="Z11">
        <v>104.5</v>
      </c>
      <c r="AA11">
        <v>104.8</v>
      </c>
      <c r="AB11">
        <v>102.7</v>
      </c>
      <c r="AC11">
        <v>104.6</v>
      </c>
      <c r="AD11">
        <v>106.4</v>
      </c>
      <c r="AE11">
        <f t="shared" si="0"/>
        <v>107.1</v>
      </c>
      <c r="AF11" t="str">
        <f t="shared" si="1"/>
        <v>NA</v>
      </c>
      <c r="AG11">
        <f t="shared" si="2"/>
        <v>104.8</v>
      </c>
      <c r="AH11">
        <f t="shared" si="3"/>
        <v>106.5</v>
      </c>
      <c r="AI11">
        <f t="shared" si="4"/>
        <v>105.1</v>
      </c>
      <c r="AJ11">
        <f t="shared" si="5"/>
        <v>104.4</v>
      </c>
      <c r="AK11">
        <f t="shared" si="6"/>
        <v>105.35</v>
      </c>
      <c r="AL11">
        <f t="shared" si="7"/>
        <v>104.5</v>
      </c>
      <c r="AM11">
        <f t="shared" si="8"/>
        <v>107.1</v>
      </c>
      <c r="AN11">
        <f t="shared" si="9"/>
        <v>105.35</v>
      </c>
      <c r="AO11">
        <f t="shared" si="10"/>
        <v>105.57777777777778</v>
      </c>
    </row>
    <row r="12" spans="1:41" hidden="1" x14ac:dyDescent="0.45">
      <c r="A12" t="s">
        <v>33</v>
      </c>
      <c r="B12">
        <v>2013</v>
      </c>
      <c r="C12" t="s">
        <v>37</v>
      </c>
      <c r="D12">
        <v>100.5</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106.4</v>
      </c>
      <c r="W12">
        <v>106.5</v>
      </c>
      <c r="X12">
        <v>105.7</v>
      </c>
      <c r="Y12">
        <v>105</v>
      </c>
      <c r="Z12">
        <v>104</v>
      </c>
      <c r="AA12">
        <v>105.2</v>
      </c>
      <c r="AB12">
        <v>103.2</v>
      </c>
      <c r="AC12">
        <v>105.1</v>
      </c>
      <c r="AD12">
        <v>105.7</v>
      </c>
      <c r="AE12">
        <f t="shared" si="0"/>
        <v>108.8</v>
      </c>
      <c r="AF12">
        <f t="shared" si="1"/>
        <v>100.5</v>
      </c>
      <c r="AG12">
        <f t="shared" si="2"/>
        <v>105.2</v>
      </c>
      <c r="AH12">
        <f t="shared" si="3"/>
        <v>106.4</v>
      </c>
      <c r="AI12">
        <f t="shared" si="4"/>
        <v>105.7</v>
      </c>
      <c r="AJ12">
        <f t="shared" si="5"/>
        <v>105</v>
      </c>
      <c r="AK12">
        <f t="shared" si="6"/>
        <v>105.45</v>
      </c>
      <c r="AL12">
        <f t="shared" si="7"/>
        <v>104</v>
      </c>
      <c r="AM12">
        <f t="shared" si="8"/>
        <v>108.5</v>
      </c>
      <c r="AN12">
        <f t="shared" si="9"/>
        <v>105.8</v>
      </c>
      <c r="AO12">
        <f t="shared" si="10"/>
        <v>105.53500000000001</v>
      </c>
    </row>
    <row r="13" spans="1:41" hidden="1" x14ac:dyDescent="0.45">
      <c r="A13" t="s">
        <v>34</v>
      </c>
      <c r="B13">
        <v>2013</v>
      </c>
      <c r="C13" t="s">
        <v>37</v>
      </c>
      <c r="D13">
        <v>100.5</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106.5</v>
      </c>
      <c r="W13">
        <v>106.3</v>
      </c>
      <c r="X13">
        <v>105.3</v>
      </c>
      <c r="Y13">
        <v>104.7</v>
      </c>
      <c r="Z13">
        <v>104.2</v>
      </c>
      <c r="AA13">
        <v>105</v>
      </c>
      <c r="AB13">
        <v>102.9</v>
      </c>
      <c r="AC13">
        <v>104.8</v>
      </c>
      <c r="AD13">
        <v>106.1</v>
      </c>
      <c r="AE13">
        <f t="shared" si="0"/>
        <v>107.7</v>
      </c>
      <c r="AF13">
        <f t="shared" si="1"/>
        <v>100.5</v>
      </c>
      <c r="AG13">
        <f t="shared" si="2"/>
        <v>105</v>
      </c>
      <c r="AH13">
        <f t="shared" si="3"/>
        <v>106.5</v>
      </c>
      <c r="AI13">
        <f t="shared" si="4"/>
        <v>105.3</v>
      </c>
      <c r="AJ13">
        <f t="shared" si="5"/>
        <v>104.7</v>
      </c>
      <c r="AK13">
        <f t="shared" si="6"/>
        <v>105.4</v>
      </c>
      <c r="AL13">
        <f t="shared" si="7"/>
        <v>104.2</v>
      </c>
      <c r="AM13">
        <f t="shared" si="8"/>
        <v>107.5</v>
      </c>
      <c r="AN13">
        <f t="shared" si="9"/>
        <v>105.55</v>
      </c>
      <c r="AO13">
        <f t="shared" si="10"/>
        <v>105.23500000000001</v>
      </c>
    </row>
    <row r="14" spans="1:41" hidden="1" x14ac:dyDescent="0.45">
      <c r="A14" t="s">
        <v>30</v>
      </c>
      <c r="B14">
        <v>2013</v>
      </c>
      <c r="C14" t="s">
        <v>38</v>
      </c>
      <c r="D14" t="s">
        <v>32</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v>107.5</v>
      </c>
      <c r="W14">
        <v>106.8</v>
      </c>
      <c r="X14">
        <v>105.7</v>
      </c>
      <c r="Y14">
        <v>104.1</v>
      </c>
      <c r="Z14">
        <v>105</v>
      </c>
      <c r="AA14">
        <v>105.5</v>
      </c>
      <c r="AB14">
        <v>102.1</v>
      </c>
      <c r="AC14">
        <v>104.8</v>
      </c>
      <c r="AD14">
        <v>107.2</v>
      </c>
      <c r="AE14">
        <f t="shared" si="0"/>
        <v>108.1</v>
      </c>
      <c r="AF14" t="str">
        <f t="shared" si="1"/>
        <v>NA</v>
      </c>
      <c r="AG14">
        <f t="shared" si="2"/>
        <v>105.5</v>
      </c>
      <c r="AH14">
        <f t="shared" si="3"/>
        <v>107.5</v>
      </c>
      <c r="AI14">
        <f t="shared" si="4"/>
        <v>105.7</v>
      </c>
      <c r="AJ14">
        <f t="shared" si="5"/>
        <v>104.1</v>
      </c>
      <c r="AK14">
        <f t="shared" si="6"/>
        <v>105.35</v>
      </c>
      <c r="AL14">
        <f t="shared" si="7"/>
        <v>105</v>
      </c>
      <c r="AM14">
        <f t="shared" si="8"/>
        <v>108.1</v>
      </c>
      <c r="AN14">
        <f t="shared" si="9"/>
        <v>105.8</v>
      </c>
      <c r="AO14">
        <f t="shared" si="10"/>
        <v>106.12777777777778</v>
      </c>
    </row>
    <row r="15" spans="1:41" hidden="1" x14ac:dyDescent="0.45">
      <c r="A15" t="s">
        <v>33</v>
      </c>
      <c r="B15">
        <v>2013</v>
      </c>
      <c r="C15" t="s">
        <v>38</v>
      </c>
      <c r="D15">
        <v>100.5</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107.2</v>
      </c>
      <c r="W15">
        <v>107.1</v>
      </c>
      <c r="X15">
        <v>106.2</v>
      </c>
      <c r="Y15">
        <v>103.9</v>
      </c>
      <c r="Z15">
        <v>104.6</v>
      </c>
      <c r="AA15">
        <v>105.7</v>
      </c>
      <c r="AB15">
        <v>102.6</v>
      </c>
      <c r="AC15">
        <v>104.9</v>
      </c>
      <c r="AD15">
        <v>106.6</v>
      </c>
      <c r="AE15">
        <f t="shared" si="0"/>
        <v>111.1</v>
      </c>
      <c r="AF15">
        <f t="shared" si="1"/>
        <v>100.5</v>
      </c>
      <c r="AG15">
        <f t="shared" si="2"/>
        <v>105.7</v>
      </c>
      <c r="AH15">
        <f t="shared" si="3"/>
        <v>107.2</v>
      </c>
      <c r="AI15">
        <f t="shared" si="4"/>
        <v>106.2</v>
      </c>
      <c r="AJ15">
        <f t="shared" si="5"/>
        <v>103.9</v>
      </c>
      <c r="AK15">
        <f t="shared" si="6"/>
        <v>105.44999999999999</v>
      </c>
      <c r="AL15">
        <f t="shared" si="7"/>
        <v>104.6</v>
      </c>
      <c r="AM15">
        <f t="shared" si="8"/>
        <v>109.8</v>
      </c>
      <c r="AN15">
        <f t="shared" si="9"/>
        <v>106</v>
      </c>
      <c r="AO15">
        <f t="shared" si="10"/>
        <v>106.04499999999999</v>
      </c>
    </row>
    <row r="16" spans="1:41" hidden="1" x14ac:dyDescent="0.45">
      <c r="A16" t="s">
        <v>34</v>
      </c>
      <c r="B16">
        <v>2013</v>
      </c>
      <c r="C16" t="s">
        <v>38</v>
      </c>
      <c r="D16">
        <v>100.5</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107.4</v>
      </c>
      <c r="W16">
        <v>106.9</v>
      </c>
      <c r="X16">
        <v>105.9</v>
      </c>
      <c r="Y16">
        <v>104</v>
      </c>
      <c r="Z16">
        <v>104.8</v>
      </c>
      <c r="AA16">
        <v>105.6</v>
      </c>
      <c r="AB16">
        <v>102.3</v>
      </c>
      <c r="AC16">
        <v>104.8</v>
      </c>
      <c r="AD16">
        <v>106.9</v>
      </c>
      <c r="AE16">
        <f t="shared" si="0"/>
        <v>109.2</v>
      </c>
      <c r="AF16">
        <f t="shared" si="1"/>
        <v>100.5</v>
      </c>
      <c r="AG16">
        <f t="shared" si="2"/>
        <v>105.6</v>
      </c>
      <c r="AH16">
        <f t="shared" si="3"/>
        <v>107.4</v>
      </c>
      <c r="AI16">
        <f t="shared" si="4"/>
        <v>105.9</v>
      </c>
      <c r="AJ16">
        <f t="shared" si="5"/>
        <v>104</v>
      </c>
      <c r="AK16">
        <f t="shared" si="6"/>
        <v>105.4</v>
      </c>
      <c r="AL16">
        <f t="shared" si="7"/>
        <v>104.8</v>
      </c>
      <c r="AM16">
        <f t="shared" si="8"/>
        <v>108.6</v>
      </c>
      <c r="AN16">
        <f t="shared" si="9"/>
        <v>105.85</v>
      </c>
      <c r="AO16">
        <f t="shared" si="10"/>
        <v>105.72499999999998</v>
      </c>
    </row>
    <row r="17" spans="1:41" hidden="1" x14ac:dyDescent="0.45">
      <c r="A17" t="s">
        <v>30</v>
      </c>
      <c r="B17">
        <v>2013</v>
      </c>
      <c r="C17" t="s">
        <v>39</v>
      </c>
      <c r="D17" t="s">
        <v>32</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v>108.5</v>
      </c>
      <c r="W17">
        <v>107.5</v>
      </c>
      <c r="X17">
        <v>106.3</v>
      </c>
      <c r="Y17">
        <v>105</v>
      </c>
      <c r="Z17">
        <v>105.6</v>
      </c>
      <c r="AA17">
        <v>106.5</v>
      </c>
      <c r="AB17">
        <v>102.5</v>
      </c>
      <c r="AC17">
        <v>105.5</v>
      </c>
      <c r="AD17">
        <v>108.9</v>
      </c>
      <c r="AE17">
        <f t="shared" si="0"/>
        <v>110.6</v>
      </c>
      <c r="AF17" t="str">
        <f t="shared" si="1"/>
        <v>NA</v>
      </c>
      <c r="AG17">
        <f t="shared" si="2"/>
        <v>106.5</v>
      </c>
      <c r="AH17">
        <f t="shared" si="3"/>
        <v>108.5</v>
      </c>
      <c r="AI17">
        <f t="shared" si="4"/>
        <v>106.3</v>
      </c>
      <c r="AJ17">
        <f t="shared" si="5"/>
        <v>105</v>
      </c>
      <c r="AK17">
        <f t="shared" si="6"/>
        <v>106</v>
      </c>
      <c r="AL17">
        <f t="shared" si="7"/>
        <v>105.6</v>
      </c>
      <c r="AM17">
        <f t="shared" si="8"/>
        <v>109</v>
      </c>
      <c r="AN17">
        <f t="shared" si="9"/>
        <v>106.5</v>
      </c>
      <c r="AO17">
        <f t="shared" si="10"/>
        <v>107.11111111111113</v>
      </c>
    </row>
    <row r="18" spans="1:41" hidden="1" x14ac:dyDescent="0.45">
      <c r="A18" t="s">
        <v>33</v>
      </c>
      <c r="B18">
        <v>2013</v>
      </c>
      <c r="C18" t="s">
        <v>39</v>
      </c>
      <c r="D18">
        <v>106.6</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108</v>
      </c>
      <c r="W18">
        <v>107.7</v>
      </c>
      <c r="X18">
        <v>106.5</v>
      </c>
      <c r="Y18">
        <v>105.2</v>
      </c>
      <c r="Z18">
        <v>105.2</v>
      </c>
      <c r="AA18">
        <v>108.1</v>
      </c>
      <c r="AB18">
        <v>103.3</v>
      </c>
      <c r="AC18">
        <v>106.1</v>
      </c>
      <c r="AD18">
        <v>109.7</v>
      </c>
      <c r="AE18">
        <f t="shared" si="0"/>
        <v>115</v>
      </c>
      <c r="AF18">
        <f t="shared" si="1"/>
        <v>106.6</v>
      </c>
      <c r="AG18">
        <f t="shared" si="2"/>
        <v>108.1</v>
      </c>
      <c r="AH18">
        <f t="shared" si="3"/>
        <v>108</v>
      </c>
      <c r="AI18">
        <f t="shared" si="4"/>
        <v>106.5</v>
      </c>
      <c r="AJ18">
        <f t="shared" si="5"/>
        <v>105.2</v>
      </c>
      <c r="AK18">
        <f t="shared" si="6"/>
        <v>106.1</v>
      </c>
      <c r="AL18">
        <f t="shared" si="7"/>
        <v>105.2</v>
      </c>
      <c r="AM18">
        <f t="shared" si="8"/>
        <v>110.9</v>
      </c>
      <c r="AN18">
        <f t="shared" si="9"/>
        <v>106.9</v>
      </c>
      <c r="AO18">
        <f t="shared" si="10"/>
        <v>107.85000000000002</v>
      </c>
    </row>
    <row r="19" spans="1:41" hidden="1" x14ac:dyDescent="0.45">
      <c r="A19" t="s">
        <v>34</v>
      </c>
      <c r="B19">
        <v>2013</v>
      </c>
      <c r="C19" t="s">
        <v>39</v>
      </c>
      <c r="D19">
        <v>106.6</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108.3</v>
      </c>
      <c r="W19">
        <v>107.6</v>
      </c>
      <c r="X19">
        <v>106.4</v>
      </c>
      <c r="Y19">
        <v>105.1</v>
      </c>
      <c r="Z19">
        <v>105.4</v>
      </c>
      <c r="AA19">
        <v>107.4</v>
      </c>
      <c r="AB19">
        <v>102.8</v>
      </c>
      <c r="AC19">
        <v>105.8</v>
      </c>
      <c r="AD19">
        <v>109.3</v>
      </c>
      <c r="AE19">
        <f t="shared" si="0"/>
        <v>112.2</v>
      </c>
      <c r="AF19">
        <f t="shared" si="1"/>
        <v>106.6</v>
      </c>
      <c r="AG19">
        <f t="shared" si="2"/>
        <v>107.4</v>
      </c>
      <c r="AH19">
        <f t="shared" si="3"/>
        <v>108.3</v>
      </c>
      <c r="AI19">
        <f t="shared" si="4"/>
        <v>106.4</v>
      </c>
      <c r="AJ19">
        <f t="shared" si="5"/>
        <v>105.1</v>
      </c>
      <c r="AK19">
        <f t="shared" si="6"/>
        <v>106.05</v>
      </c>
      <c r="AL19">
        <f t="shared" si="7"/>
        <v>105.4</v>
      </c>
      <c r="AM19">
        <f t="shared" si="8"/>
        <v>109.5</v>
      </c>
      <c r="AN19">
        <f t="shared" si="9"/>
        <v>106.69999999999999</v>
      </c>
      <c r="AO19">
        <f t="shared" si="10"/>
        <v>107.36500000000001</v>
      </c>
    </row>
    <row r="20" spans="1:41" hidden="1" x14ac:dyDescent="0.45">
      <c r="A20" t="s">
        <v>30</v>
      </c>
      <c r="B20">
        <v>2013</v>
      </c>
      <c r="C20" t="s">
        <v>40</v>
      </c>
      <c r="D20" t="s">
        <v>32</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v>109.5</v>
      </c>
      <c r="W20">
        <v>108.3</v>
      </c>
      <c r="X20">
        <v>106.9</v>
      </c>
      <c r="Y20">
        <v>106.8</v>
      </c>
      <c r="Z20">
        <v>106.4</v>
      </c>
      <c r="AA20">
        <v>107.8</v>
      </c>
      <c r="AB20">
        <v>102.5</v>
      </c>
      <c r="AC20">
        <v>106.5</v>
      </c>
      <c r="AD20">
        <v>110.7</v>
      </c>
      <c r="AE20">
        <f t="shared" si="0"/>
        <v>113.1</v>
      </c>
      <c r="AF20" t="str">
        <f t="shared" si="1"/>
        <v>NA</v>
      </c>
      <c r="AG20">
        <f t="shared" si="2"/>
        <v>107.8</v>
      </c>
      <c r="AH20">
        <f t="shared" si="3"/>
        <v>109.5</v>
      </c>
      <c r="AI20">
        <f t="shared" si="4"/>
        <v>106.9</v>
      </c>
      <c r="AJ20">
        <f t="shared" si="5"/>
        <v>106.8</v>
      </c>
      <c r="AK20">
        <f t="shared" si="6"/>
        <v>106.4</v>
      </c>
      <c r="AL20">
        <f t="shared" si="7"/>
        <v>106.4</v>
      </c>
      <c r="AM20">
        <f t="shared" si="8"/>
        <v>109.8</v>
      </c>
      <c r="AN20">
        <f t="shared" si="9"/>
        <v>107.4</v>
      </c>
      <c r="AO20">
        <f t="shared" si="10"/>
        <v>108.23333333333331</v>
      </c>
    </row>
    <row r="21" spans="1:41" hidden="1" x14ac:dyDescent="0.45">
      <c r="A21" t="s">
        <v>33</v>
      </c>
      <c r="B21">
        <v>2013</v>
      </c>
      <c r="C21" t="s">
        <v>40</v>
      </c>
      <c r="D21">
        <v>107.7</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108.6</v>
      </c>
      <c r="W21">
        <v>108.1</v>
      </c>
      <c r="X21">
        <v>107.1</v>
      </c>
      <c r="Y21">
        <v>107.3</v>
      </c>
      <c r="Z21">
        <v>105.9</v>
      </c>
      <c r="AA21">
        <v>110.1</v>
      </c>
      <c r="AB21">
        <v>103.2</v>
      </c>
      <c r="AC21">
        <v>107.3</v>
      </c>
      <c r="AD21">
        <v>111.4</v>
      </c>
      <c r="AE21">
        <f t="shared" si="0"/>
        <v>117.5</v>
      </c>
      <c r="AF21">
        <f t="shared" si="1"/>
        <v>107.7</v>
      </c>
      <c r="AG21">
        <f t="shared" si="2"/>
        <v>110.1</v>
      </c>
      <c r="AH21">
        <f t="shared" si="3"/>
        <v>108.6</v>
      </c>
      <c r="AI21">
        <f t="shared" si="4"/>
        <v>107.1</v>
      </c>
      <c r="AJ21">
        <f t="shared" si="5"/>
        <v>107.3</v>
      </c>
      <c r="AK21">
        <f t="shared" si="6"/>
        <v>106.35</v>
      </c>
      <c r="AL21">
        <f t="shared" si="7"/>
        <v>105.9</v>
      </c>
      <c r="AM21">
        <f t="shared" si="8"/>
        <v>111.7</v>
      </c>
      <c r="AN21">
        <f t="shared" si="9"/>
        <v>107.69999999999999</v>
      </c>
      <c r="AO21">
        <f t="shared" si="10"/>
        <v>108.995</v>
      </c>
    </row>
    <row r="22" spans="1:41" hidden="1" x14ac:dyDescent="0.45">
      <c r="A22" t="s">
        <v>34</v>
      </c>
      <c r="B22">
        <v>2013</v>
      </c>
      <c r="C22" t="s">
        <v>40</v>
      </c>
      <c r="D22">
        <v>107.7</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109.2</v>
      </c>
      <c r="W22">
        <v>108.2</v>
      </c>
      <c r="X22">
        <v>107</v>
      </c>
      <c r="Y22">
        <v>107.1</v>
      </c>
      <c r="Z22">
        <v>106.1</v>
      </c>
      <c r="AA22">
        <v>109.1</v>
      </c>
      <c r="AB22">
        <v>102.8</v>
      </c>
      <c r="AC22">
        <v>106.9</v>
      </c>
      <c r="AD22">
        <v>111</v>
      </c>
      <c r="AE22">
        <f t="shared" si="0"/>
        <v>114.7</v>
      </c>
      <c r="AF22">
        <f t="shared" si="1"/>
        <v>107.7</v>
      </c>
      <c r="AG22">
        <f t="shared" si="2"/>
        <v>109.1</v>
      </c>
      <c r="AH22">
        <f t="shared" si="3"/>
        <v>109.2</v>
      </c>
      <c r="AI22">
        <f t="shared" si="4"/>
        <v>107</v>
      </c>
      <c r="AJ22">
        <f t="shared" si="5"/>
        <v>107.1</v>
      </c>
      <c r="AK22">
        <f t="shared" si="6"/>
        <v>106.4</v>
      </c>
      <c r="AL22">
        <f t="shared" si="7"/>
        <v>106.1</v>
      </c>
      <c r="AM22">
        <f t="shared" si="8"/>
        <v>110.3</v>
      </c>
      <c r="AN22">
        <f t="shared" si="9"/>
        <v>107.55000000000001</v>
      </c>
      <c r="AO22">
        <f t="shared" si="10"/>
        <v>108.51500000000001</v>
      </c>
    </row>
    <row r="23" spans="1:41" hidden="1" x14ac:dyDescent="0.45">
      <c r="A23" t="s">
        <v>30</v>
      </c>
      <c r="B23">
        <v>2013</v>
      </c>
      <c r="C23" t="s">
        <v>41</v>
      </c>
      <c r="D23" t="s">
        <v>32</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v>109.9</v>
      </c>
      <c r="W23">
        <v>108.7</v>
      </c>
      <c r="X23">
        <v>107.5</v>
      </c>
      <c r="Y23">
        <v>107.8</v>
      </c>
      <c r="Z23">
        <v>106.8</v>
      </c>
      <c r="AA23">
        <v>108.7</v>
      </c>
      <c r="AB23">
        <v>105</v>
      </c>
      <c r="AC23">
        <v>107.5</v>
      </c>
      <c r="AD23">
        <v>112.1</v>
      </c>
      <c r="AE23">
        <f t="shared" si="0"/>
        <v>114.9</v>
      </c>
      <c r="AF23" t="str">
        <f t="shared" si="1"/>
        <v>NA</v>
      </c>
      <c r="AG23">
        <f t="shared" si="2"/>
        <v>108.7</v>
      </c>
      <c r="AH23">
        <f t="shared" si="3"/>
        <v>109.9</v>
      </c>
      <c r="AI23">
        <f t="shared" si="4"/>
        <v>107.5</v>
      </c>
      <c r="AJ23">
        <f t="shared" si="5"/>
        <v>107.8</v>
      </c>
      <c r="AK23">
        <f t="shared" si="6"/>
        <v>108.05</v>
      </c>
      <c r="AL23">
        <f t="shared" si="7"/>
        <v>106.8</v>
      </c>
      <c r="AM23">
        <f t="shared" si="8"/>
        <v>110.7</v>
      </c>
      <c r="AN23">
        <f t="shared" si="9"/>
        <v>108.1</v>
      </c>
      <c r="AO23">
        <f t="shared" si="10"/>
        <v>109.1611111111111</v>
      </c>
    </row>
    <row r="24" spans="1:41" hidden="1" x14ac:dyDescent="0.45">
      <c r="A24" t="s">
        <v>33</v>
      </c>
      <c r="B24">
        <v>2013</v>
      </c>
      <c r="C24" t="s">
        <v>41</v>
      </c>
      <c r="D24">
        <v>108.9</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109.3</v>
      </c>
      <c r="W24">
        <v>108.7</v>
      </c>
      <c r="X24">
        <v>107.6</v>
      </c>
      <c r="Y24">
        <v>108.1</v>
      </c>
      <c r="Z24">
        <v>106.5</v>
      </c>
      <c r="AA24">
        <v>110.8</v>
      </c>
      <c r="AB24">
        <v>106</v>
      </c>
      <c r="AC24">
        <v>108.3</v>
      </c>
      <c r="AD24">
        <v>112.7</v>
      </c>
      <c r="AE24">
        <f t="shared" si="0"/>
        <v>119.6</v>
      </c>
      <c r="AF24">
        <f t="shared" si="1"/>
        <v>108.9</v>
      </c>
      <c r="AG24">
        <f t="shared" si="2"/>
        <v>110.8</v>
      </c>
      <c r="AH24">
        <f t="shared" si="3"/>
        <v>109.3</v>
      </c>
      <c r="AI24">
        <f t="shared" si="4"/>
        <v>107.6</v>
      </c>
      <c r="AJ24">
        <f t="shared" si="5"/>
        <v>108.1</v>
      </c>
      <c r="AK24">
        <f t="shared" si="6"/>
        <v>108.1</v>
      </c>
      <c r="AL24">
        <f t="shared" si="7"/>
        <v>106.5</v>
      </c>
      <c r="AM24">
        <f t="shared" si="8"/>
        <v>112.4</v>
      </c>
      <c r="AN24">
        <f t="shared" si="9"/>
        <v>108.5</v>
      </c>
      <c r="AO24">
        <f t="shared" si="10"/>
        <v>109.98000000000002</v>
      </c>
    </row>
    <row r="25" spans="1:41" hidden="1" x14ac:dyDescent="0.45">
      <c r="A25" t="s">
        <v>34</v>
      </c>
      <c r="B25">
        <v>2013</v>
      </c>
      <c r="C25" t="s">
        <v>41</v>
      </c>
      <c r="D25">
        <v>108.9</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109.7</v>
      </c>
      <c r="W25">
        <v>108.7</v>
      </c>
      <c r="X25">
        <v>107.5</v>
      </c>
      <c r="Y25">
        <v>108</v>
      </c>
      <c r="Z25">
        <v>106.6</v>
      </c>
      <c r="AA25">
        <v>109.9</v>
      </c>
      <c r="AB25">
        <v>105.4</v>
      </c>
      <c r="AC25">
        <v>107.9</v>
      </c>
      <c r="AD25">
        <v>112.4</v>
      </c>
      <c r="AE25">
        <f t="shared" si="0"/>
        <v>116.6</v>
      </c>
      <c r="AF25">
        <f t="shared" si="1"/>
        <v>108.9</v>
      </c>
      <c r="AG25">
        <f t="shared" si="2"/>
        <v>109.9</v>
      </c>
      <c r="AH25">
        <f t="shared" si="3"/>
        <v>109.7</v>
      </c>
      <c r="AI25">
        <f t="shared" si="4"/>
        <v>107.5</v>
      </c>
      <c r="AJ25">
        <f t="shared" si="5"/>
        <v>108</v>
      </c>
      <c r="AK25">
        <f t="shared" si="6"/>
        <v>108.05000000000001</v>
      </c>
      <c r="AL25">
        <f t="shared" si="7"/>
        <v>106.6</v>
      </c>
      <c r="AM25">
        <f t="shared" si="8"/>
        <v>111.2</v>
      </c>
      <c r="AN25">
        <f t="shared" si="9"/>
        <v>108.30000000000001</v>
      </c>
      <c r="AO25">
        <f t="shared" si="10"/>
        <v>109.47499999999999</v>
      </c>
    </row>
    <row r="26" spans="1:41" hidden="1" x14ac:dyDescent="0.45">
      <c r="A26" t="s">
        <v>30</v>
      </c>
      <c r="B26">
        <v>2013</v>
      </c>
      <c r="C26" t="s">
        <v>42</v>
      </c>
      <c r="D26" t="s">
        <v>32</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v>111.1</v>
      </c>
      <c r="W26">
        <v>109.6</v>
      </c>
      <c r="X26">
        <v>108.3</v>
      </c>
      <c r="Y26">
        <v>109.3</v>
      </c>
      <c r="Z26">
        <v>107.7</v>
      </c>
      <c r="AA26">
        <v>109.8</v>
      </c>
      <c r="AB26">
        <v>106.7</v>
      </c>
      <c r="AC26">
        <v>108.7</v>
      </c>
      <c r="AD26">
        <v>114.2</v>
      </c>
      <c r="AE26">
        <f t="shared" si="0"/>
        <v>117.8</v>
      </c>
      <c r="AF26" t="str">
        <f t="shared" si="1"/>
        <v>NA</v>
      </c>
      <c r="AG26">
        <f t="shared" si="2"/>
        <v>109.8</v>
      </c>
      <c r="AH26">
        <f t="shared" si="3"/>
        <v>111.1</v>
      </c>
      <c r="AI26">
        <f t="shared" si="4"/>
        <v>108.3</v>
      </c>
      <c r="AJ26">
        <f t="shared" si="5"/>
        <v>109.3</v>
      </c>
      <c r="AK26">
        <f t="shared" si="6"/>
        <v>109.6</v>
      </c>
      <c r="AL26">
        <f t="shared" si="7"/>
        <v>107.7</v>
      </c>
      <c r="AM26">
        <f t="shared" si="8"/>
        <v>111.7</v>
      </c>
      <c r="AN26">
        <f t="shared" si="9"/>
        <v>109.15</v>
      </c>
      <c r="AO26">
        <f t="shared" si="10"/>
        <v>110.49444444444445</v>
      </c>
    </row>
    <row r="27" spans="1:41" hidden="1" x14ac:dyDescent="0.45">
      <c r="A27" t="s">
        <v>33</v>
      </c>
      <c r="B27">
        <v>2013</v>
      </c>
      <c r="C27" t="s">
        <v>42</v>
      </c>
      <c r="D27">
        <v>109.7</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109.5</v>
      </c>
      <c r="W27">
        <v>109.6</v>
      </c>
      <c r="X27">
        <v>107.9</v>
      </c>
      <c r="Y27">
        <v>110.4</v>
      </c>
      <c r="Z27">
        <v>107.4</v>
      </c>
      <c r="AA27">
        <v>111.2</v>
      </c>
      <c r="AB27">
        <v>106.9</v>
      </c>
      <c r="AC27">
        <v>109.4</v>
      </c>
      <c r="AD27">
        <v>113.2</v>
      </c>
      <c r="AE27">
        <f t="shared" si="0"/>
        <v>119.2</v>
      </c>
      <c r="AF27">
        <f t="shared" si="1"/>
        <v>109.7</v>
      </c>
      <c r="AG27">
        <f t="shared" si="2"/>
        <v>111.2</v>
      </c>
      <c r="AH27">
        <f t="shared" si="3"/>
        <v>109.5</v>
      </c>
      <c r="AI27">
        <f t="shared" si="4"/>
        <v>107.9</v>
      </c>
      <c r="AJ27">
        <f t="shared" si="5"/>
        <v>110.4</v>
      </c>
      <c r="AK27">
        <f t="shared" si="6"/>
        <v>109</v>
      </c>
      <c r="AL27">
        <f t="shared" si="7"/>
        <v>107.4</v>
      </c>
      <c r="AM27">
        <f t="shared" si="8"/>
        <v>112.9</v>
      </c>
      <c r="AN27">
        <f t="shared" si="9"/>
        <v>109.5</v>
      </c>
      <c r="AO27">
        <f t="shared" si="10"/>
        <v>110.66999999999999</v>
      </c>
    </row>
    <row r="28" spans="1:41" hidden="1" x14ac:dyDescent="0.45">
      <c r="A28" t="s">
        <v>34</v>
      </c>
      <c r="B28">
        <v>2013</v>
      </c>
      <c r="C28" t="s">
        <v>42</v>
      </c>
      <c r="D28">
        <v>109.7</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110.5</v>
      </c>
      <c r="W28">
        <v>109.6</v>
      </c>
      <c r="X28">
        <v>108.1</v>
      </c>
      <c r="Y28">
        <v>109.9</v>
      </c>
      <c r="Z28">
        <v>107.5</v>
      </c>
      <c r="AA28">
        <v>110.6</v>
      </c>
      <c r="AB28">
        <v>106.8</v>
      </c>
      <c r="AC28">
        <v>109</v>
      </c>
      <c r="AD28">
        <v>113.7</v>
      </c>
      <c r="AE28">
        <f t="shared" si="0"/>
        <v>118.3</v>
      </c>
      <c r="AF28">
        <f t="shared" si="1"/>
        <v>109.7</v>
      </c>
      <c r="AG28">
        <f t="shared" si="2"/>
        <v>110.6</v>
      </c>
      <c r="AH28">
        <f t="shared" si="3"/>
        <v>110.5</v>
      </c>
      <c r="AI28">
        <f t="shared" si="4"/>
        <v>108.1</v>
      </c>
      <c r="AJ28">
        <f t="shared" si="5"/>
        <v>109.9</v>
      </c>
      <c r="AK28">
        <f t="shared" si="6"/>
        <v>109.35</v>
      </c>
      <c r="AL28">
        <f t="shared" si="7"/>
        <v>107.5</v>
      </c>
      <c r="AM28">
        <f t="shared" si="8"/>
        <v>112</v>
      </c>
      <c r="AN28">
        <f t="shared" si="9"/>
        <v>109.3</v>
      </c>
      <c r="AO28">
        <f t="shared" si="10"/>
        <v>110.52500000000001</v>
      </c>
    </row>
    <row r="29" spans="1:41" hidden="1" x14ac:dyDescent="0.45">
      <c r="A29" t="s">
        <v>30</v>
      </c>
      <c r="B29">
        <v>2013</v>
      </c>
      <c r="C29" t="s">
        <v>43</v>
      </c>
      <c r="D29" t="s">
        <v>32</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v>111.6</v>
      </c>
      <c r="W29">
        <v>110.4</v>
      </c>
      <c r="X29">
        <v>108.9</v>
      </c>
      <c r="Y29">
        <v>109.3</v>
      </c>
      <c r="Z29">
        <v>108.3</v>
      </c>
      <c r="AA29">
        <v>110.2</v>
      </c>
      <c r="AB29">
        <v>107.5</v>
      </c>
      <c r="AC29">
        <v>109.1</v>
      </c>
      <c r="AD29">
        <v>115.5</v>
      </c>
      <c r="AE29">
        <f t="shared" si="0"/>
        <v>119.8</v>
      </c>
      <c r="AF29" t="str">
        <f t="shared" si="1"/>
        <v>NA</v>
      </c>
      <c r="AG29">
        <f t="shared" si="2"/>
        <v>110.2</v>
      </c>
      <c r="AH29">
        <f t="shared" si="3"/>
        <v>111.6</v>
      </c>
      <c r="AI29">
        <f t="shared" si="4"/>
        <v>108.9</v>
      </c>
      <c r="AJ29">
        <f t="shared" si="5"/>
        <v>109.3</v>
      </c>
      <c r="AK29">
        <f t="shared" si="6"/>
        <v>110.45</v>
      </c>
      <c r="AL29">
        <f t="shared" si="7"/>
        <v>108.3</v>
      </c>
      <c r="AM29">
        <f t="shared" si="8"/>
        <v>112.2</v>
      </c>
      <c r="AN29">
        <f t="shared" si="9"/>
        <v>109.75</v>
      </c>
      <c r="AO29">
        <f t="shared" si="10"/>
        <v>111.16666666666667</v>
      </c>
    </row>
    <row r="30" spans="1:41" hidden="1" x14ac:dyDescent="0.45">
      <c r="A30" t="s">
        <v>33</v>
      </c>
      <c r="B30">
        <v>2013</v>
      </c>
      <c r="C30" t="s">
        <v>43</v>
      </c>
      <c r="D30">
        <v>110.5</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109.7</v>
      </c>
      <c r="W30">
        <v>110.2</v>
      </c>
      <c r="X30">
        <v>108.2</v>
      </c>
      <c r="Y30">
        <v>109.7</v>
      </c>
      <c r="Z30">
        <v>108</v>
      </c>
      <c r="AA30">
        <v>111.3</v>
      </c>
      <c r="AB30">
        <v>107.3</v>
      </c>
      <c r="AC30">
        <v>109.4</v>
      </c>
      <c r="AD30">
        <v>114</v>
      </c>
      <c r="AE30">
        <f t="shared" si="0"/>
        <v>120.8</v>
      </c>
      <c r="AF30">
        <f t="shared" si="1"/>
        <v>110.5</v>
      </c>
      <c r="AG30">
        <f t="shared" si="2"/>
        <v>111.3</v>
      </c>
      <c r="AH30">
        <f t="shared" si="3"/>
        <v>109.7</v>
      </c>
      <c r="AI30">
        <f t="shared" si="4"/>
        <v>108.2</v>
      </c>
      <c r="AJ30">
        <f t="shared" si="5"/>
        <v>109.7</v>
      </c>
      <c r="AK30">
        <f t="shared" si="6"/>
        <v>109.65</v>
      </c>
      <c r="AL30">
        <f t="shared" si="7"/>
        <v>108</v>
      </c>
      <c r="AM30">
        <f t="shared" si="8"/>
        <v>113.5</v>
      </c>
      <c r="AN30">
        <f t="shared" si="9"/>
        <v>109.80000000000001</v>
      </c>
      <c r="AO30">
        <f t="shared" si="10"/>
        <v>111.11500000000001</v>
      </c>
    </row>
    <row r="31" spans="1:41" hidden="1" x14ac:dyDescent="0.45">
      <c r="A31" t="s">
        <v>34</v>
      </c>
      <c r="B31">
        <v>2013</v>
      </c>
      <c r="C31" t="s">
        <v>43</v>
      </c>
      <c r="D31">
        <v>110.5</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110.9</v>
      </c>
      <c r="W31">
        <v>110.3</v>
      </c>
      <c r="X31">
        <v>108.6</v>
      </c>
      <c r="Y31">
        <v>109.5</v>
      </c>
      <c r="Z31">
        <v>108.1</v>
      </c>
      <c r="AA31">
        <v>110.8</v>
      </c>
      <c r="AB31">
        <v>107.4</v>
      </c>
      <c r="AC31">
        <v>109.2</v>
      </c>
      <c r="AD31">
        <v>114.8</v>
      </c>
      <c r="AE31">
        <f t="shared" si="0"/>
        <v>120.2</v>
      </c>
      <c r="AF31">
        <f t="shared" si="1"/>
        <v>110.5</v>
      </c>
      <c r="AG31">
        <f t="shared" si="2"/>
        <v>110.8</v>
      </c>
      <c r="AH31">
        <f t="shared" si="3"/>
        <v>110.9</v>
      </c>
      <c r="AI31">
        <f t="shared" si="4"/>
        <v>108.6</v>
      </c>
      <c r="AJ31">
        <f t="shared" si="5"/>
        <v>109.5</v>
      </c>
      <c r="AK31">
        <f t="shared" si="6"/>
        <v>110.1</v>
      </c>
      <c r="AL31">
        <f t="shared" si="7"/>
        <v>108.1</v>
      </c>
      <c r="AM31">
        <f t="shared" si="8"/>
        <v>112.5</v>
      </c>
      <c r="AN31">
        <f t="shared" si="9"/>
        <v>109.75</v>
      </c>
      <c r="AO31">
        <f t="shared" si="10"/>
        <v>111.095</v>
      </c>
    </row>
    <row r="32" spans="1:41" hidden="1" x14ac:dyDescent="0.45">
      <c r="A32" t="s">
        <v>30</v>
      </c>
      <c r="B32">
        <v>2013</v>
      </c>
      <c r="C32" t="s">
        <v>44</v>
      </c>
      <c r="D32" t="s">
        <v>32</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v>112.6</v>
      </c>
      <c r="W32">
        <v>111.3</v>
      </c>
      <c r="X32">
        <v>109.7</v>
      </c>
      <c r="Y32">
        <v>109.6</v>
      </c>
      <c r="Z32">
        <v>108.7</v>
      </c>
      <c r="AA32">
        <v>111</v>
      </c>
      <c r="AB32">
        <v>108.2</v>
      </c>
      <c r="AC32">
        <v>109.8</v>
      </c>
      <c r="AD32">
        <v>117.4</v>
      </c>
      <c r="AE32">
        <f t="shared" si="0"/>
        <v>122.5</v>
      </c>
      <c r="AF32" t="str">
        <f t="shared" si="1"/>
        <v>NA</v>
      </c>
      <c r="AG32">
        <f t="shared" si="2"/>
        <v>111</v>
      </c>
      <c r="AH32">
        <f t="shared" si="3"/>
        <v>112.6</v>
      </c>
      <c r="AI32">
        <f t="shared" si="4"/>
        <v>109.7</v>
      </c>
      <c r="AJ32">
        <f t="shared" si="5"/>
        <v>109.6</v>
      </c>
      <c r="AK32">
        <f t="shared" si="6"/>
        <v>111.30000000000001</v>
      </c>
      <c r="AL32">
        <f t="shared" si="7"/>
        <v>108.7</v>
      </c>
      <c r="AM32">
        <f t="shared" si="8"/>
        <v>112.8</v>
      </c>
      <c r="AN32">
        <f t="shared" si="9"/>
        <v>110.55</v>
      </c>
      <c r="AO32">
        <f t="shared" si="10"/>
        <v>112.08333333333333</v>
      </c>
    </row>
    <row r="33" spans="1:41" hidden="1" x14ac:dyDescent="0.45">
      <c r="A33" t="s">
        <v>33</v>
      </c>
      <c r="B33">
        <v>2013</v>
      </c>
      <c r="C33" t="s">
        <v>45</v>
      </c>
      <c r="D33">
        <v>111.1</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110</v>
      </c>
      <c r="W33">
        <v>110.9</v>
      </c>
      <c r="X33">
        <v>108.6</v>
      </c>
      <c r="Y33">
        <v>109.5</v>
      </c>
      <c r="Z33">
        <v>108.5</v>
      </c>
      <c r="AA33">
        <v>111.3</v>
      </c>
      <c r="AB33">
        <v>107.9</v>
      </c>
      <c r="AC33">
        <v>109.6</v>
      </c>
      <c r="AD33">
        <v>115</v>
      </c>
      <c r="AE33">
        <f t="shared" si="0"/>
        <v>122.9</v>
      </c>
      <c r="AF33">
        <f t="shared" si="1"/>
        <v>111.1</v>
      </c>
      <c r="AG33">
        <f t="shared" si="2"/>
        <v>111.3</v>
      </c>
      <c r="AH33">
        <f t="shared" si="3"/>
        <v>110</v>
      </c>
      <c r="AI33">
        <f t="shared" si="4"/>
        <v>108.6</v>
      </c>
      <c r="AJ33">
        <f t="shared" si="5"/>
        <v>109.5</v>
      </c>
      <c r="AK33">
        <f t="shared" si="6"/>
        <v>110.45</v>
      </c>
      <c r="AL33">
        <f t="shared" si="7"/>
        <v>108.5</v>
      </c>
      <c r="AM33">
        <f t="shared" si="8"/>
        <v>114.1</v>
      </c>
      <c r="AN33">
        <f t="shared" si="9"/>
        <v>110.25</v>
      </c>
      <c r="AO33">
        <f t="shared" si="10"/>
        <v>111.67</v>
      </c>
    </row>
    <row r="34" spans="1:41" hidden="1" x14ac:dyDescent="0.45">
      <c r="A34" t="s">
        <v>34</v>
      </c>
      <c r="B34">
        <v>2013</v>
      </c>
      <c r="C34" t="s">
        <v>45</v>
      </c>
      <c r="D34">
        <v>111.1</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111.6</v>
      </c>
      <c r="W34">
        <v>111.1</v>
      </c>
      <c r="X34">
        <v>109.3</v>
      </c>
      <c r="Y34">
        <v>109.5</v>
      </c>
      <c r="Z34">
        <v>108.6</v>
      </c>
      <c r="AA34">
        <v>111.2</v>
      </c>
      <c r="AB34">
        <v>108.1</v>
      </c>
      <c r="AC34">
        <v>109.7</v>
      </c>
      <c r="AD34">
        <v>116.3</v>
      </c>
      <c r="AE34">
        <f t="shared" si="0"/>
        <v>122.6</v>
      </c>
      <c r="AF34">
        <f t="shared" si="1"/>
        <v>111.1</v>
      </c>
      <c r="AG34">
        <f t="shared" si="2"/>
        <v>111.2</v>
      </c>
      <c r="AH34">
        <f t="shared" si="3"/>
        <v>111.6</v>
      </c>
      <c r="AI34">
        <f t="shared" si="4"/>
        <v>109.3</v>
      </c>
      <c r="AJ34">
        <f t="shared" si="5"/>
        <v>109.5</v>
      </c>
      <c r="AK34">
        <f t="shared" si="6"/>
        <v>110.94999999999999</v>
      </c>
      <c r="AL34">
        <f t="shared" si="7"/>
        <v>108.6</v>
      </c>
      <c r="AM34">
        <f t="shared" si="8"/>
        <v>113.1</v>
      </c>
      <c r="AN34">
        <f t="shared" si="9"/>
        <v>110.4</v>
      </c>
      <c r="AO34">
        <f t="shared" si="10"/>
        <v>111.83500000000001</v>
      </c>
    </row>
    <row r="35" spans="1:41" hidden="1" x14ac:dyDescent="0.45">
      <c r="A35" t="s">
        <v>30</v>
      </c>
      <c r="B35">
        <v>2013</v>
      </c>
      <c r="C35" t="s">
        <v>46</v>
      </c>
      <c r="D35" t="s">
        <v>32</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v>112.8</v>
      </c>
      <c r="W35">
        <v>112.1</v>
      </c>
      <c r="X35">
        <v>110.1</v>
      </c>
      <c r="Y35">
        <v>109.9</v>
      </c>
      <c r="Z35">
        <v>109.2</v>
      </c>
      <c r="AA35">
        <v>111.6</v>
      </c>
      <c r="AB35">
        <v>108.1</v>
      </c>
      <c r="AC35">
        <v>110.1</v>
      </c>
      <c r="AD35">
        <v>115.5</v>
      </c>
      <c r="AE35">
        <f t="shared" si="0"/>
        <v>118.7</v>
      </c>
      <c r="AF35" t="str">
        <f t="shared" si="1"/>
        <v>NA</v>
      </c>
      <c r="AG35">
        <f t="shared" si="2"/>
        <v>111.6</v>
      </c>
      <c r="AH35">
        <f t="shared" si="3"/>
        <v>112.8</v>
      </c>
      <c r="AI35">
        <f t="shared" si="4"/>
        <v>110.1</v>
      </c>
      <c r="AJ35">
        <f t="shared" si="5"/>
        <v>109.9</v>
      </c>
      <c r="AK35">
        <f t="shared" si="6"/>
        <v>111.8</v>
      </c>
      <c r="AL35">
        <f t="shared" si="7"/>
        <v>109.2</v>
      </c>
      <c r="AM35">
        <f t="shared" si="8"/>
        <v>113.6</v>
      </c>
      <c r="AN35">
        <f t="shared" si="9"/>
        <v>111.1</v>
      </c>
      <c r="AO35">
        <f t="shared" si="10"/>
        <v>112.0888888888889</v>
      </c>
    </row>
    <row r="36" spans="1:41" hidden="1" x14ac:dyDescent="0.45">
      <c r="A36" t="s">
        <v>33</v>
      </c>
      <c r="B36">
        <v>2013</v>
      </c>
      <c r="C36" t="s">
        <v>46</v>
      </c>
      <c r="D36">
        <v>110.7</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110.4</v>
      </c>
      <c r="W36">
        <v>111.3</v>
      </c>
      <c r="X36">
        <v>109</v>
      </c>
      <c r="Y36">
        <v>109.7</v>
      </c>
      <c r="Z36">
        <v>108.9</v>
      </c>
      <c r="AA36">
        <v>111.4</v>
      </c>
      <c r="AB36">
        <v>107.7</v>
      </c>
      <c r="AC36">
        <v>109.8</v>
      </c>
      <c r="AD36">
        <v>113.3</v>
      </c>
      <c r="AE36">
        <f t="shared" si="0"/>
        <v>117.8</v>
      </c>
      <c r="AF36">
        <f t="shared" si="1"/>
        <v>110.7</v>
      </c>
      <c r="AG36">
        <f t="shared" si="2"/>
        <v>111.4</v>
      </c>
      <c r="AH36">
        <f t="shared" si="3"/>
        <v>110.4</v>
      </c>
      <c r="AI36">
        <f t="shared" si="4"/>
        <v>109</v>
      </c>
      <c r="AJ36">
        <f t="shared" si="5"/>
        <v>109.7</v>
      </c>
      <c r="AK36">
        <f t="shared" si="6"/>
        <v>110.7</v>
      </c>
      <c r="AL36">
        <f t="shared" si="7"/>
        <v>108.9</v>
      </c>
      <c r="AM36">
        <f t="shared" si="8"/>
        <v>115</v>
      </c>
      <c r="AN36">
        <f t="shared" si="9"/>
        <v>110.55</v>
      </c>
      <c r="AO36">
        <f t="shared" si="10"/>
        <v>111.41500000000001</v>
      </c>
    </row>
    <row r="37" spans="1:41" hidden="1" x14ac:dyDescent="0.45">
      <c r="A37" t="s">
        <v>34</v>
      </c>
      <c r="B37">
        <v>2013</v>
      </c>
      <c r="C37" t="s">
        <v>46</v>
      </c>
      <c r="D37">
        <v>110.7</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111.9</v>
      </c>
      <c r="W37">
        <v>111.7</v>
      </c>
      <c r="X37">
        <v>109.7</v>
      </c>
      <c r="Y37">
        <v>109.8</v>
      </c>
      <c r="Z37">
        <v>109</v>
      </c>
      <c r="AA37">
        <v>111.5</v>
      </c>
      <c r="AB37">
        <v>107.9</v>
      </c>
      <c r="AC37">
        <v>110</v>
      </c>
      <c r="AD37">
        <v>114.5</v>
      </c>
      <c r="AE37">
        <f t="shared" si="0"/>
        <v>118.4</v>
      </c>
      <c r="AF37">
        <f t="shared" si="1"/>
        <v>110.7</v>
      </c>
      <c r="AG37">
        <f t="shared" si="2"/>
        <v>111.5</v>
      </c>
      <c r="AH37">
        <f t="shared" si="3"/>
        <v>111.9</v>
      </c>
      <c r="AI37">
        <f t="shared" si="4"/>
        <v>109.7</v>
      </c>
      <c r="AJ37">
        <f t="shared" si="5"/>
        <v>109.8</v>
      </c>
      <c r="AK37">
        <f t="shared" si="6"/>
        <v>111.35</v>
      </c>
      <c r="AL37">
        <f t="shared" si="7"/>
        <v>109</v>
      </c>
      <c r="AM37">
        <f t="shared" si="8"/>
        <v>114</v>
      </c>
      <c r="AN37">
        <f t="shared" si="9"/>
        <v>110.85</v>
      </c>
      <c r="AO37">
        <f t="shared" si="10"/>
        <v>111.72</v>
      </c>
    </row>
    <row r="38" spans="1:41" hidden="1" x14ac:dyDescent="0.45">
      <c r="A38" t="s">
        <v>30</v>
      </c>
      <c r="B38">
        <v>2014</v>
      </c>
      <c r="C38" t="s">
        <v>31</v>
      </c>
      <c r="D38" t="s">
        <v>32</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v>113</v>
      </c>
      <c r="W38">
        <v>112.6</v>
      </c>
      <c r="X38">
        <v>110.6</v>
      </c>
      <c r="Y38">
        <v>110.5</v>
      </c>
      <c r="Z38">
        <v>109.6</v>
      </c>
      <c r="AA38">
        <v>111.8</v>
      </c>
      <c r="AB38">
        <v>108.3</v>
      </c>
      <c r="AC38">
        <v>110.6</v>
      </c>
      <c r="AD38">
        <v>114.2</v>
      </c>
      <c r="AE38">
        <f t="shared" si="0"/>
        <v>116</v>
      </c>
      <c r="AF38" t="str">
        <f t="shared" si="1"/>
        <v>NA</v>
      </c>
      <c r="AG38">
        <f t="shared" si="2"/>
        <v>111.8</v>
      </c>
      <c r="AH38">
        <f t="shared" si="3"/>
        <v>113</v>
      </c>
      <c r="AI38">
        <f t="shared" si="4"/>
        <v>110.6</v>
      </c>
      <c r="AJ38">
        <f t="shared" si="5"/>
        <v>110.5</v>
      </c>
      <c r="AK38">
        <f t="shared" si="6"/>
        <v>112.25</v>
      </c>
      <c r="AL38">
        <f t="shared" si="7"/>
        <v>109.6</v>
      </c>
      <c r="AM38">
        <f t="shared" si="8"/>
        <v>114</v>
      </c>
      <c r="AN38">
        <f t="shared" si="9"/>
        <v>111.6</v>
      </c>
      <c r="AO38">
        <f t="shared" si="10"/>
        <v>112.15</v>
      </c>
    </row>
    <row r="39" spans="1:41" hidden="1" x14ac:dyDescent="0.45">
      <c r="A39" t="s">
        <v>33</v>
      </c>
      <c r="B39">
        <v>2014</v>
      </c>
      <c r="C39" t="s">
        <v>31</v>
      </c>
      <c r="D39">
        <v>111.6</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v>
      </c>
      <c r="W39">
        <v>111.9</v>
      </c>
      <c r="X39">
        <v>109.7</v>
      </c>
      <c r="Y39">
        <v>110.8</v>
      </c>
      <c r="Z39">
        <v>109.8</v>
      </c>
      <c r="AA39">
        <v>111.5</v>
      </c>
      <c r="AB39">
        <v>108</v>
      </c>
      <c r="AC39">
        <v>110.5</v>
      </c>
      <c r="AD39">
        <v>112.9</v>
      </c>
      <c r="AE39">
        <f t="shared" si="0"/>
        <v>115.5</v>
      </c>
      <c r="AF39">
        <f t="shared" si="1"/>
        <v>111.6</v>
      </c>
      <c r="AG39">
        <f t="shared" si="2"/>
        <v>111.5</v>
      </c>
      <c r="AH39">
        <f t="shared" si="3"/>
        <v>111</v>
      </c>
      <c r="AI39">
        <f t="shared" si="4"/>
        <v>109.7</v>
      </c>
      <c r="AJ39">
        <f t="shared" si="5"/>
        <v>110.8</v>
      </c>
      <c r="AK39">
        <f t="shared" si="6"/>
        <v>111.15</v>
      </c>
      <c r="AL39">
        <f t="shared" si="7"/>
        <v>109.8</v>
      </c>
      <c r="AM39">
        <f t="shared" si="8"/>
        <v>115.7</v>
      </c>
      <c r="AN39">
        <f t="shared" si="9"/>
        <v>111.2</v>
      </c>
      <c r="AO39">
        <f t="shared" si="10"/>
        <v>111.795</v>
      </c>
    </row>
    <row r="40" spans="1:41" hidden="1" x14ac:dyDescent="0.45">
      <c r="A40" t="s">
        <v>34</v>
      </c>
      <c r="B40">
        <v>2014</v>
      </c>
      <c r="C40" t="s">
        <v>31</v>
      </c>
      <c r="D40">
        <v>111.6</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112.2</v>
      </c>
      <c r="W40">
        <v>112.3</v>
      </c>
      <c r="X40">
        <v>110.3</v>
      </c>
      <c r="Y40">
        <v>110.7</v>
      </c>
      <c r="Z40">
        <v>109.7</v>
      </c>
      <c r="AA40">
        <v>111.6</v>
      </c>
      <c r="AB40">
        <v>108.2</v>
      </c>
      <c r="AC40">
        <v>110.6</v>
      </c>
      <c r="AD40">
        <v>113.6</v>
      </c>
      <c r="AE40">
        <f t="shared" si="0"/>
        <v>115.8</v>
      </c>
      <c r="AF40">
        <f t="shared" si="1"/>
        <v>111.6</v>
      </c>
      <c r="AG40">
        <f t="shared" si="2"/>
        <v>111.6</v>
      </c>
      <c r="AH40">
        <f t="shared" si="3"/>
        <v>112.2</v>
      </c>
      <c r="AI40">
        <f t="shared" si="4"/>
        <v>110.3</v>
      </c>
      <c r="AJ40">
        <f t="shared" si="5"/>
        <v>110.7</v>
      </c>
      <c r="AK40">
        <f t="shared" si="6"/>
        <v>111.80000000000001</v>
      </c>
      <c r="AL40">
        <f t="shared" si="7"/>
        <v>109.7</v>
      </c>
      <c r="AM40">
        <f t="shared" si="8"/>
        <v>114.5</v>
      </c>
      <c r="AN40">
        <f t="shared" si="9"/>
        <v>111.44999999999999</v>
      </c>
      <c r="AO40">
        <f t="shared" si="10"/>
        <v>111.965</v>
      </c>
    </row>
    <row r="41" spans="1:41" hidden="1" x14ac:dyDescent="0.45">
      <c r="A41" t="s">
        <v>30</v>
      </c>
      <c r="B41">
        <v>2014</v>
      </c>
      <c r="C41" t="s">
        <v>35</v>
      </c>
      <c r="D41" t="s">
        <v>32</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v>113.2</v>
      </c>
      <c r="W41">
        <v>112.9</v>
      </c>
      <c r="X41">
        <v>110.9</v>
      </c>
      <c r="Y41">
        <v>110.8</v>
      </c>
      <c r="Z41">
        <v>109.9</v>
      </c>
      <c r="AA41">
        <v>112</v>
      </c>
      <c r="AB41">
        <v>108.7</v>
      </c>
      <c r="AC41">
        <v>110.9</v>
      </c>
      <c r="AD41">
        <v>114</v>
      </c>
      <c r="AE41">
        <f t="shared" si="0"/>
        <v>115.3</v>
      </c>
      <c r="AF41" t="str">
        <f t="shared" si="1"/>
        <v>NA</v>
      </c>
      <c r="AG41">
        <f t="shared" si="2"/>
        <v>112</v>
      </c>
      <c r="AH41">
        <f t="shared" si="3"/>
        <v>113.2</v>
      </c>
      <c r="AI41">
        <f t="shared" si="4"/>
        <v>110.9</v>
      </c>
      <c r="AJ41">
        <f t="shared" si="5"/>
        <v>110.8</v>
      </c>
      <c r="AK41">
        <f t="shared" si="6"/>
        <v>112.7</v>
      </c>
      <c r="AL41">
        <f t="shared" si="7"/>
        <v>109.9</v>
      </c>
      <c r="AM41">
        <f t="shared" si="8"/>
        <v>114.2</v>
      </c>
      <c r="AN41">
        <f t="shared" si="9"/>
        <v>111.9</v>
      </c>
      <c r="AO41">
        <f t="shared" si="10"/>
        <v>112.32222222222222</v>
      </c>
    </row>
    <row r="42" spans="1:41" hidden="1" x14ac:dyDescent="0.45">
      <c r="A42" t="s">
        <v>33</v>
      </c>
      <c r="B42">
        <v>2014</v>
      </c>
      <c r="C42" t="s">
        <v>35</v>
      </c>
      <c r="D42">
        <v>112.5</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111.1</v>
      </c>
      <c r="W42">
        <v>112.6</v>
      </c>
      <c r="X42">
        <v>110.4</v>
      </c>
      <c r="Y42">
        <v>111.3</v>
      </c>
      <c r="Z42">
        <v>110.3</v>
      </c>
      <c r="AA42">
        <v>111.6</v>
      </c>
      <c r="AB42">
        <v>108.7</v>
      </c>
      <c r="AC42">
        <v>111</v>
      </c>
      <c r="AD42">
        <v>113.1</v>
      </c>
      <c r="AE42">
        <f t="shared" si="0"/>
        <v>115.2</v>
      </c>
      <c r="AF42">
        <f t="shared" si="1"/>
        <v>112.5</v>
      </c>
      <c r="AG42">
        <f t="shared" si="2"/>
        <v>111.6</v>
      </c>
      <c r="AH42">
        <f t="shared" si="3"/>
        <v>111.1</v>
      </c>
      <c r="AI42">
        <f t="shared" si="4"/>
        <v>110.4</v>
      </c>
      <c r="AJ42">
        <f t="shared" si="5"/>
        <v>111.3</v>
      </c>
      <c r="AK42">
        <f t="shared" si="6"/>
        <v>111.7</v>
      </c>
      <c r="AL42">
        <f t="shared" si="7"/>
        <v>110.3</v>
      </c>
      <c r="AM42">
        <f t="shared" si="8"/>
        <v>116.2</v>
      </c>
      <c r="AN42">
        <f t="shared" si="9"/>
        <v>111.8</v>
      </c>
      <c r="AO42">
        <f t="shared" si="10"/>
        <v>112.21</v>
      </c>
    </row>
    <row r="43" spans="1:41" hidden="1" x14ac:dyDescent="0.45">
      <c r="A43" t="s">
        <v>34</v>
      </c>
      <c r="B43">
        <v>2014</v>
      </c>
      <c r="C43" t="s">
        <v>35</v>
      </c>
      <c r="D43">
        <v>112.5</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112.4</v>
      </c>
      <c r="W43">
        <v>112.8</v>
      </c>
      <c r="X43">
        <v>110.7</v>
      </c>
      <c r="Y43">
        <v>111.1</v>
      </c>
      <c r="Z43">
        <v>110.1</v>
      </c>
      <c r="AA43">
        <v>111.8</v>
      </c>
      <c r="AB43">
        <v>108.7</v>
      </c>
      <c r="AC43">
        <v>110.9</v>
      </c>
      <c r="AD43">
        <v>113.6</v>
      </c>
      <c r="AE43">
        <f t="shared" si="0"/>
        <v>115.3</v>
      </c>
      <c r="AF43">
        <f t="shared" si="1"/>
        <v>112.5</v>
      </c>
      <c r="AG43">
        <f t="shared" si="2"/>
        <v>111.8</v>
      </c>
      <c r="AH43">
        <f t="shared" si="3"/>
        <v>112.4</v>
      </c>
      <c r="AI43">
        <f t="shared" si="4"/>
        <v>110.7</v>
      </c>
      <c r="AJ43">
        <f t="shared" si="5"/>
        <v>111.1</v>
      </c>
      <c r="AK43">
        <f t="shared" si="6"/>
        <v>112.30000000000001</v>
      </c>
      <c r="AL43">
        <f t="shared" si="7"/>
        <v>110.1</v>
      </c>
      <c r="AM43">
        <f t="shared" si="8"/>
        <v>114.7</v>
      </c>
      <c r="AN43">
        <f t="shared" si="9"/>
        <v>111.85</v>
      </c>
      <c r="AO43">
        <f t="shared" si="10"/>
        <v>112.27500000000002</v>
      </c>
    </row>
    <row r="44" spans="1:41" hidden="1" x14ac:dyDescent="0.45">
      <c r="A44" t="s">
        <v>30</v>
      </c>
      <c r="B44">
        <v>2014</v>
      </c>
      <c r="C44" t="s">
        <v>36</v>
      </c>
      <c r="D44" t="s">
        <v>32</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v>113.4</v>
      </c>
      <c r="W44">
        <v>113.4</v>
      </c>
      <c r="X44">
        <v>111.4</v>
      </c>
      <c r="Y44">
        <v>111.2</v>
      </c>
      <c r="Z44">
        <v>110.2</v>
      </c>
      <c r="AA44">
        <v>112.4</v>
      </c>
      <c r="AB44">
        <v>108.9</v>
      </c>
      <c r="AC44">
        <v>111.3</v>
      </c>
      <c r="AD44">
        <v>114.6</v>
      </c>
      <c r="AE44">
        <f t="shared" si="0"/>
        <v>116.2</v>
      </c>
      <c r="AF44" t="str">
        <f t="shared" si="1"/>
        <v>NA</v>
      </c>
      <c r="AG44">
        <f t="shared" si="2"/>
        <v>112.4</v>
      </c>
      <c r="AH44">
        <f t="shared" si="3"/>
        <v>113.4</v>
      </c>
      <c r="AI44">
        <f t="shared" si="4"/>
        <v>111.4</v>
      </c>
      <c r="AJ44">
        <f t="shared" si="5"/>
        <v>111.2</v>
      </c>
      <c r="AK44">
        <f t="shared" si="6"/>
        <v>113.05000000000001</v>
      </c>
      <c r="AL44">
        <f t="shared" si="7"/>
        <v>110.2</v>
      </c>
      <c r="AM44">
        <f t="shared" si="8"/>
        <v>114.6</v>
      </c>
      <c r="AN44">
        <f t="shared" si="9"/>
        <v>112.35</v>
      </c>
      <c r="AO44">
        <f t="shared" si="10"/>
        <v>112.75555555555557</v>
      </c>
    </row>
    <row r="45" spans="1:41" hidden="1" x14ac:dyDescent="0.45">
      <c r="A45" t="s">
        <v>33</v>
      </c>
      <c r="B45">
        <v>2014</v>
      </c>
      <c r="C45" t="s">
        <v>36</v>
      </c>
      <c r="D45">
        <v>113.2</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110.9</v>
      </c>
      <c r="W45">
        <v>113</v>
      </c>
      <c r="X45">
        <v>110.8</v>
      </c>
      <c r="Y45">
        <v>111.6</v>
      </c>
      <c r="Z45">
        <v>110.9</v>
      </c>
      <c r="AA45">
        <v>111.8</v>
      </c>
      <c r="AB45">
        <v>109.2</v>
      </c>
      <c r="AC45">
        <v>111.4</v>
      </c>
      <c r="AD45">
        <v>113.7</v>
      </c>
      <c r="AE45">
        <f t="shared" si="0"/>
        <v>116</v>
      </c>
      <c r="AF45">
        <f t="shared" si="1"/>
        <v>113.2</v>
      </c>
      <c r="AG45">
        <f t="shared" si="2"/>
        <v>111.8</v>
      </c>
      <c r="AH45">
        <f t="shared" si="3"/>
        <v>110.9</v>
      </c>
      <c r="AI45">
        <f t="shared" si="4"/>
        <v>110.8</v>
      </c>
      <c r="AJ45">
        <f t="shared" si="5"/>
        <v>111.6</v>
      </c>
      <c r="AK45">
        <f t="shared" si="6"/>
        <v>112.2</v>
      </c>
      <c r="AL45">
        <f t="shared" si="7"/>
        <v>110.9</v>
      </c>
      <c r="AM45">
        <f t="shared" si="8"/>
        <v>116.7</v>
      </c>
      <c r="AN45">
        <f t="shared" si="9"/>
        <v>112.2</v>
      </c>
      <c r="AO45">
        <f t="shared" si="10"/>
        <v>112.63</v>
      </c>
    </row>
    <row r="46" spans="1:41" hidden="1" x14ac:dyDescent="0.45">
      <c r="A46" t="s">
        <v>34</v>
      </c>
      <c r="B46">
        <v>2014</v>
      </c>
      <c r="C46" t="s">
        <v>36</v>
      </c>
      <c r="D46">
        <v>113.2</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112.5</v>
      </c>
      <c r="W46">
        <v>113.2</v>
      </c>
      <c r="X46">
        <v>111.2</v>
      </c>
      <c r="Y46">
        <v>111.4</v>
      </c>
      <c r="Z46">
        <v>110.6</v>
      </c>
      <c r="AA46">
        <v>112</v>
      </c>
      <c r="AB46">
        <v>109</v>
      </c>
      <c r="AC46">
        <v>111.3</v>
      </c>
      <c r="AD46">
        <v>114.2</v>
      </c>
      <c r="AE46">
        <f t="shared" si="0"/>
        <v>116.1</v>
      </c>
      <c r="AF46">
        <f t="shared" si="1"/>
        <v>113.2</v>
      </c>
      <c r="AG46">
        <f t="shared" si="2"/>
        <v>112</v>
      </c>
      <c r="AH46">
        <f t="shared" si="3"/>
        <v>112.5</v>
      </c>
      <c r="AI46">
        <f t="shared" si="4"/>
        <v>111.2</v>
      </c>
      <c r="AJ46">
        <f t="shared" si="5"/>
        <v>111.4</v>
      </c>
      <c r="AK46">
        <f t="shared" si="6"/>
        <v>112.7</v>
      </c>
      <c r="AL46">
        <f t="shared" si="7"/>
        <v>110.6</v>
      </c>
      <c r="AM46">
        <f t="shared" si="8"/>
        <v>115.2</v>
      </c>
      <c r="AN46">
        <f t="shared" si="9"/>
        <v>112.25</v>
      </c>
      <c r="AO46">
        <f t="shared" si="10"/>
        <v>112.715</v>
      </c>
    </row>
    <row r="47" spans="1:41" hidden="1" x14ac:dyDescent="0.45">
      <c r="A47" t="s">
        <v>30</v>
      </c>
      <c r="B47">
        <v>2014</v>
      </c>
      <c r="C47" t="s">
        <v>37</v>
      </c>
      <c r="D47" t="s">
        <v>32</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v>113.4</v>
      </c>
      <c r="W47">
        <v>113.7</v>
      </c>
      <c r="X47">
        <v>111.8</v>
      </c>
      <c r="Y47">
        <v>111.2</v>
      </c>
      <c r="Z47">
        <v>110.5</v>
      </c>
      <c r="AA47">
        <v>113</v>
      </c>
      <c r="AB47">
        <v>108.9</v>
      </c>
      <c r="AC47">
        <v>111.5</v>
      </c>
      <c r="AD47">
        <v>115.4</v>
      </c>
      <c r="AE47">
        <f t="shared" si="0"/>
        <v>117.2</v>
      </c>
      <c r="AF47" t="str">
        <f t="shared" si="1"/>
        <v>NA</v>
      </c>
      <c r="AG47">
        <f t="shared" si="2"/>
        <v>113</v>
      </c>
      <c r="AH47">
        <f t="shared" si="3"/>
        <v>113.4</v>
      </c>
      <c r="AI47">
        <f t="shared" si="4"/>
        <v>111.8</v>
      </c>
      <c r="AJ47">
        <f t="shared" si="5"/>
        <v>111.2</v>
      </c>
      <c r="AK47">
        <f t="shared" si="6"/>
        <v>113.35</v>
      </c>
      <c r="AL47">
        <f t="shared" si="7"/>
        <v>110.5</v>
      </c>
      <c r="AM47">
        <f t="shared" si="8"/>
        <v>115.4</v>
      </c>
      <c r="AN47">
        <f t="shared" si="9"/>
        <v>112.6</v>
      </c>
      <c r="AO47">
        <f t="shared" si="10"/>
        <v>113.16111111111111</v>
      </c>
    </row>
    <row r="48" spans="1:41" hidden="1" x14ac:dyDescent="0.45">
      <c r="A48" t="s">
        <v>33</v>
      </c>
      <c r="B48">
        <v>2014</v>
      </c>
      <c r="C48" t="s">
        <v>37</v>
      </c>
      <c r="D48">
        <v>113.9</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110.9</v>
      </c>
      <c r="W48">
        <v>113.4</v>
      </c>
      <c r="X48">
        <v>111</v>
      </c>
      <c r="Y48">
        <v>111.2</v>
      </c>
      <c r="Z48">
        <v>111.2</v>
      </c>
      <c r="AA48">
        <v>112.5</v>
      </c>
      <c r="AB48">
        <v>109.1</v>
      </c>
      <c r="AC48">
        <v>111.4</v>
      </c>
      <c r="AD48">
        <v>114.7</v>
      </c>
      <c r="AE48">
        <f t="shared" si="0"/>
        <v>118.2</v>
      </c>
      <c r="AF48">
        <f t="shared" si="1"/>
        <v>113.9</v>
      </c>
      <c r="AG48">
        <f t="shared" si="2"/>
        <v>112.5</v>
      </c>
      <c r="AH48">
        <f t="shared" si="3"/>
        <v>110.9</v>
      </c>
      <c r="AI48">
        <f t="shared" si="4"/>
        <v>111</v>
      </c>
      <c r="AJ48">
        <f t="shared" si="5"/>
        <v>111.2</v>
      </c>
      <c r="AK48">
        <f t="shared" si="6"/>
        <v>112.4</v>
      </c>
      <c r="AL48">
        <f t="shared" si="7"/>
        <v>111.2</v>
      </c>
      <c r="AM48">
        <f t="shared" si="8"/>
        <v>117.6</v>
      </c>
      <c r="AN48">
        <f t="shared" si="9"/>
        <v>112.4</v>
      </c>
      <c r="AO48">
        <f t="shared" si="10"/>
        <v>113.13000000000002</v>
      </c>
    </row>
    <row r="49" spans="1:41" hidden="1" x14ac:dyDescent="0.45">
      <c r="A49" t="s">
        <v>34</v>
      </c>
      <c r="B49">
        <v>2014</v>
      </c>
      <c r="C49" t="s">
        <v>37</v>
      </c>
      <c r="D49">
        <v>113.9</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112.5</v>
      </c>
      <c r="W49">
        <v>113.6</v>
      </c>
      <c r="X49">
        <v>111.5</v>
      </c>
      <c r="Y49">
        <v>111.2</v>
      </c>
      <c r="Z49">
        <v>110.9</v>
      </c>
      <c r="AA49">
        <v>112.7</v>
      </c>
      <c r="AB49">
        <v>109</v>
      </c>
      <c r="AC49">
        <v>111.5</v>
      </c>
      <c r="AD49">
        <v>115.1</v>
      </c>
      <c r="AE49">
        <f t="shared" si="0"/>
        <v>117.6</v>
      </c>
      <c r="AF49">
        <f t="shared" si="1"/>
        <v>113.9</v>
      </c>
      <c r="AG49">
        <f t="shared" si="2"/>
        <v>112.7</v>
      </c>
      <c r="AH49">
        <f t="shared" si="3"/>
        <v>112.5</v>
      </c>
      <c r="AI49">
        <f t="shared" si="4"/>
        <v>111.5</v>
      </c>
      <c r="AJ49">
        <f t="shared" si="5"/>
        <v>111.2</v>
      </c>
      <c r="AK49">
        <f t="shared" si="6"/>
        <v>113</v>
      </c>
      <c r="AL49">
        <f t="shared" si="7"/>
        <v>110.9</v>
      </c>
      <c r="AM49">
        <f t="shared" si="8"/>
        <v>116</v>
      </c>
      <c r="AN49">
        <f t="shared" si="9"/>
        <v>112.55</v>
      </c>
      <c r="AO49">
        <f t="shared" si="10"/>
        <v>113.18500000000002</v>
      </c>
    </row>
    <row r="50" spans="1:41" hidden="1" x14ac:dyDescent="0.45">
      <c r="A50" t="s">
        <v>30</v>
      </c>
      <c r="B50">
        <v>2014</v>
      </c>
      <c r="C50" t="s">
        <v>38</v>
      </c>
      <c r="D50" t="s">
        <v>32</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v>113.4</v>
      </c>
      <c r="W50">
        <v>114.1</v>
      </c>
      <c r="X50">
        <v>112.1</v>
      </c>
      <c r="Y50">
        <v>111.4</v>
      </c>
      <c r="Z50">
        <v>110.9</v>
      </c>
      <c r="AA50">
        <v>113.1</v>
      </c>
      <c r="AB50">
        <v>108.9</v>
      </c>
      <c r="AC50">
        <v>111.8</v>
      </c>
      <c r="AD50">
        <v>116</v>
      </c>
      <c r="AE50">
        <f t="shared" si="0"/>
        <v>118.2</v>
      </c>
      <c r="AF50" t="str">
        <f t="shared" si="1"/>
        <v>NA</v>
      </c>
      <c r="AG50">
        <f t="shared" si="2"/>
        <v>113.1</v>
      </c>
      <c r="AH50">
        <f t="shared" si="3"/>
        <v>113.4</v>
      </c>
      <c r="AI50">
        <f t="shared" si="4"/>
        <v>112.1</v>
      </c>
      <c r="AJ50">
        <f t="shared" si="5"/>
        <v>111.4</v>
      </c>
      <c r="AK50">
        <f t="shared" si="6"/>
        <v>113.7</v>
      </c>
      <c r="AL50">
        <f t="shared" si="7"/>
        <v>110.9</v>
      </c>
      <c r="AM50">
        <f t="shared" si="8"/>
        <v>116.3</v>
      </c>
      <c r="AN50">
        <f t="shared" si="9"/>
        <v>112.94999999999999</v>
      </c>
      <c r="AO50">
        <f t="shared" si="10"/>
        <v>113.5611111111111</v>
      </c>
    </row>
    <row r="51" spans="1:41" hidden="1" x14ac:dyDescent="0.45">
      <c r="A51" t="s">
        <v>33</v>
      </c>
      <c r="B51">
        <v>2014</v>
      </c>
      <c r="C51" t="s">
        <v>38</v>
      </c>
      <c r="D51">
        <v>114.3</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111.1</v>
      </c>
      <c r="W51">
        <v>114.1</v>
      </c>
      <c r="X51">
        <v>111.2</v>
      </c>
      <c r="Y51">
        <v>111.3</v>
      </c>
      <c r="Z51">
        <v>111.5</v>
      </c>
      <c r="AA51">
        <v>112.9</v>
      </c>
      <c r="AB51">
        <v>109.3</v>
      </c>
      <c r="AC51">
        <v>111.7</v>
      </c>
      <c r="AD51">
        <v>115.6</v>
      </c>
      <c r="AE51">
        <f t="shared" si="0"/>
        <v>120</v>
      </c>
      <c r="AF51">
        <f t="shared" si="1"/>
        <v>114.3</v>
      </c>
      <c r="AG51">
        <f t="shared" si="2"/>
        <v>112.9</v>
      </c>
      <c r="AH51">
        <f t="shared" si="3"/>
        <v>111.1</v>
      </c>
      <c r="AI51">
        <f t="shared" si="4"/>
        <v>111.2</v>
      </c>
      <c r="AJ51">
        <f t="shared" si="5"/>
        <v>111.3</v>
      </c>
      <c r="AK51">
        <f t="shared" si="6"/>
        <v>112.75</v>
      </c>
      <c r="AL51">
        <f t="shared" si="7"/>
        <v>111.5</v>
      </c>
      <c r="AM51">
        <f t="shared" si="8"/>
        <v>118.3</v>
      </c>
      <c r="AN51">
        <f t="shared" si="9"/>
        <v>112.9</v>
      </c>
      <c r="AO51">
        <f t="shared" si="10"/>
        <v>113.625</v>
      </c>
    </row>
    <row r="52" spans="1:41" hidden="1" x14ac:dyDescent="0.45">
      <c r="A52" t="s">
        <v>34</v>
      </c>
      <c r="B52">
        <v>2014</v>
      </c>
      <c r="C52" t="s">
        <v>38</v>
      </c>
      <c r="D52">
        <v>114.3</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112.5</v>
      </c>
      <c r="W52">
        <v>114.1</v>
      </c>
      <c r="X52">
        <v>111.8</v>
      </c>
      <c r="Y52">
        <v>111.3</v>
      </c>
      <c r="Z52">
        <v>111.2</v>
      </c>
      <c r="AA52">
        <v>113</v>
      </c>
      <c r="AB52">
        <v>109.1</v>
      </c>
      <c r="AC52">
        <v>111.8</v>
      </c>
      <c r="AD52">
        <v>115.8</v>
      </c>
      <c r="AE52">
        <f t="shared" si="0"/>
        <v>118.9</v>
      </c>
      <c r="AF52">
        <f t="shared" si="1"/>
        <v>114.3</v>
      </c>
      <c r="AG52">
        <f t="shared" si="2"/>
        <v>113</v>
      </c>
      <c r="AH52">
        <f t="shared" si="3"/>
        <v>112.5</v>
      </c>
      <c r="AI52">
        <f t="shared" si="4"/>
        <v>111.8</v>
      </c>
      <c r="AJ52">
        <f t="shared" si="5"/>
        <v>111.3</v>
      </c>
      <c r="AK52">
        <f t="shared" si="6"/>
        <v>113.35</v>
      </c>
      <c r="AL52">
        <f t="shared" si="7"/>
        <v>111.2</v>
      </c>
      <c r="AM52">
        <f t="shared" si="8"/>
        <v>116.8</v>
      </c>
      <c r="AN52">
        <f t="shared" si="9"/>
        <v>112.94999999999999</v>
      </c>
      <c r="AO52">
        <f t="shared" si="10"/>
        <v>113.60999999999999</v>
      </c>
    </row>
    <row r="53" spans="1:41" hidden="1" x14ac:dyDescent="0.45">
      <c r="A53" t="s">
        <v>30</v>
      </c>
      <c r="B53">
        <v>2014</v>
      </c>
      <c r="C53" t="s">
        <v>39</v>
      </c>
      <c r="D53" t="s">
        <v>32</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v>114.4</v>
      </c>
      <c r="W53">
        <v>114.9</v>
      </c>
      <c r="X53">
        <v>112.8</v>
      </c>
      <c r="Y53">
        <v>112.2</v>
      </c>
      <c r="Z53">
        <v>111.4</v>
      </c>
      <c r="AA53">
        <v>114.3</v>
      </c>
      <c r="AB53">
        <v>108</v>
      </c>
      <c r="AC53">
        <v>112.3</v>
      </c>
      <c r="AD53">
        <v>117</v>
      </c>
      <c r="AE53">
        <f t="shared" si="0"/>
        <v>119.5</v>
      </c>
      <c r="AF53" t="str">
        <f t="shared" si="1"/>
        <v>NA</v>
      </c>
      <c r="AG53">
        <f t="shared" si="2"/>
        <v>114.3</v>
      </c>
      <c r="AH53">
        <f t="shared" si="3"/>
        <v>114.4</v>
      </c>
      <c r="AI53">
        <f t="shared" si="4"/>
        <v>112.8</v>
      </c>
      <c r="AJ53">
        <f t="shared" si="5"/>
        <v>112.2</v>
      </c>
      <c r="AK53">
        <f t="shared" si="6"/>
        <v>113.65</v>
      </c>
      <c r="AL53">
        <f t="shared" si="7"/>
        <v>111.4</v>
      </c>
      <c r="AM53">
        <f t="shared" si="8"/>
        <v>117.3</v>
      </c>
      <c r="AN53">
        <f t="shared" si="9"/>
        <v>113.6</v>
      </c>
      <c r="AO53">
        <f t="shared" si="10"/>
        <v>114.34999999999998</v>
      </c>
    </row>
    <row r="54" spans="1:41" hidden="1" x14ac:dyDescent="0.45">
      <c r="A54" t="s">
        <v>33</v>
      </c>
      <c r="B54">
        <v>2014</v>
      </c>
      <c r="C54" t="s">
        <v>39</v>
      </c>
      <c r="D54">
        <v>113.9</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111.2</v>
      </c>
      <c r="W54">
        <v>114.3</v>
      </c>
      <c r="X54">
        <v>111.4</v>
      </c>
      <c r="Y54">
        <v>111.5</v>
      </c>
      <c r="Z54">
        <v>111.8</v>
      </c>
      <c r="AA54">
        <v>115.1</v>
      </c>
      <c r="AB54">
        <v>108.7</v>
      </c>
      <c r="AC54">
        <v>112.2</v>
      </c>
      <c r="AD54">
        <v>116.4</v>
      </c>
      <c r="AE54">
        <f t="shared" si="0"/>
        <v>122</v>
      </c>
      <c r="AF54">
        <f t="shared" si="1"/>
        <v>113.9</v>
      </c>
      <c r="AG54">
        <f t="shared" si="2"/>
        <v>115.1</v>
      </c>
      <c r="AH54">
        <f t="shared" si="3"/>
        <v>111.2</v>
      </c>
      <c r="AI54">
        <f t="shared" si="4"/>
        <v>111.4</v>
      </c>
      <c r="AJ54">
        <f t="shared" si="5"/>
        <v>111.5</v>
      </c>
      <c r="AK54">
        <f t="shared" si="6"/>
        <v>112.7</v>
      </c>
      <c r="AL54">
        <f t="shared" si="7"/>
        <v>111.8</v>
      </c>
      <c r="AM54">
        <f t="shared" si="8"/>
        <v>119</v>
      </c>
      <c r="AN54">
        <f t="shared" si="9"/>
        <v>113.25</v>
      </c>
      <c r="AO54">
        <f t="shared" si="10"/>
        <v>114.18499999999999</v>
      </c>
    </row>
    <row r="55" spans="1:41" hidden="1" x14ac:dyDescent="0.45">
      <c r="A55" t="s">
        <v>34</v>
      </c>
      <c r="B55">
        <v>2014</v>
      </c>
      <c r="C55" t="s">
        <v>39</v>
      </c>
      <c r="D55">
        <v>113.9</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113.2</v>
      </c>
      <c r="W55">
        <v>114.6</v>
      </c>
      <c r="X55">
        <v>112.3</v>
      </c>
      <c r="Y55">
        <v>111.8</v>
      </c>
      <c r="Z55">
        <v>111.6</v>
      </c>
      <c r="AA55">
        <v>114.8</v>
      </c>
      <c r="AB55">
        <v>108.3</v>
      </c>
      <c r="AC55">
        <v>112.3</v>
      </c>
      <c r="AD55">
        <v>116.7</v>
      </c>
      <c r="AE55">
        <f t="shared" si="0"/>
        <v>120.4</v>
      </c>
      <c r="AF55">
        <f t="shared" si="1"/>
        <v>113.9</v>
      </c>
      <c r="AG55">
        <f t="shared" si="2"/>
        <v>114.8</v>
      </c>
      <c r="AH55">
        <f t="shared" si="3"/>
        <v>113.2</v>
      </c>
      <c r="AI55">
        <f t="shared" si="4"/>
        <v>112.3</v>
      </c>
      <c r="AJ55">
        <f t="shared" si="5"/>
        <v>111.8</v>
      </c>
      <c r="AK55">
        <f t="shared" si="6"/>
        <v>113.3</v>
      </c>
      <c r="AL55">
        <f t="shared" si="7"/>
        <v>111.6</v>
      </c>
      <c r="AM55">
        <f t="shared" si="8"/>
        <v>117.8</v>
      </c>
      <c r="AN55">
        <f t="shared" si="9"/>
        <v>113.44999999999999</v>
      </c>
      <c r="AO55">
        <f t="shared" si="10"/>
        <v>114.255</v>
      </c>
    </row>
    <row r="56" spans="1:41" hidden="1" x14ac:dyDescent="0.45">
      <c r="A56" t="s">
        <v>30</v>
      </c>
      <c r="B56">
        <v>2014</v>
      </c>
      <c r="C56" t="s">
        <v>40</v>
      </c>
      <c r="D56" t="s">
        <v>32</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v>115.3</v>
      </c>
      <c r="W56">
        <v>115.4</v>
      </c>
      <c r="X56">
        <v>113.4</v>
      </c>
      <c r="Y56">
        <v>113.2</v>
      </c>
      <c r="Z56">
        <v>111.8</v>
      </c>
      <c r="AA56">
        <v>115.5</v>
      </c>
      <c r="AB56">
        <v>108.8</v>
      </c>
      <c r="AC56">
        <v>113.1</v>
      </c>
      <c r="AD56">
        <v>119.5</v>
      </c>
      <c r="AE56">
        <f t="shared" si="0"/>
        <v>123.3</v>
      </c>
      <c r="AF56" t="str">
        <f t="shared" si="1"/>
        <v>NA</v>
      </c>
      <c r="AG56">
        <f t="shared" si="2"/>
        <v>115.5</v>
      </c>
      <c r="AH56">
        <f t="shared" si="3"/>
        <v>115.3</v>
      </c>
      <c r="AI56">
        <f t="shared" si="4"/>
        <v>113.4</v>
      </c>
      <c r="AJ56">
        <f t="shared" si="5"/>
        <v>113.2</v>
      </c>
      <c r="AK56">
        <f t="shared" si="6"/>
        <v>114.55</v>
      </c>
      <c r="AL56">
        <f t="shared" si="7"/>
        <v>111.8</v>
      </c>
      <c r="AM56">
        <f t="shared" si="8"/>
        <v>118</v>
      </c>
      <c r="AN56">
        <f t="shared" si="9"/>
        <v>114.25</v>
      </c>
      <c r="AO56">
        <f t="shared" si="10"/>
        <v>115.47777777777777</v>
      </c>
    </row>
    <row r="57" spans="1:41" hidden="1" x14ac:dyDescent="0.45">
      <c r="A57" t="s">
        <v>33</v>
      </c>
      <c r="B57">
        <v>2014</v>
      </c>
      <c r="C57" t="s">
        <v>40</v>
      </c>
      <c r="D57">
        <v>114.8</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111.6</v>
      </c>
      <c r="W57">
        <v>114.9</v>
      </c>
      <c r="X57">
        <v>111.5</v>
      </c>
      <c r="Y57">
        <v>113</v>
      </c>
      <c r="Z57">
        <v>112.4</v>
      </c>
      <c r="AA57">
        <v>117.8</v>
      </c>
      <c r="AB57">
        <v>109.7</v>
      </c>
      <c r="AC57">
        <v>113.5</v>
      </c>
      <c r="AD57">
        <v>118.9</v>
      </c>
      <c r="AE57">
        <f t="shared" si="0"/>
        <v>127.1</v>
      </c>
      <c r="AF57">
        <f t="shared" si="1"/>
        <v>114.8</v>
      </c>
      <c r="AG57">
        <f t="shared" si="2"/>
        <v>117.8</v>
      </c>
      <c r="AH57">
        <f t="shared" si="3"/>
        <v>111.6</v>
      </c>
      <c r="AI57">
        <f t="shared" si="4"/>
        <v>111.5</v>
      </c>
      <c r="AJ57">
        <f t="shared" si="5"/>
        <v>113</v>
      </c>
      <c r="AK57">
        <f t="shared" si="6"/>
        <v>113.55000000000001</v>
      </c>
      <c r="AL57">
        <f t="shared" si="7"/>
        <v>112.4</v>
      </c>
      <c r="AM57">
        <f t="shared" si="8"/>
        <v>121</v>
      </c>
      <c r="AN57">
        <f t="shared" si="9"/>
        <v>114.2</v>
      </c>
      <c r="AO57">
        <f t="shared" si="10"/>
        <v>115.69500000000001</v>
      </c>
    </row>
    <row r="58" spans="1:41" hidden="1" x14ac:dyDescent="0.45">
      <c r="A58" t="s">
        <v>34</v>
      </c>
      <c r="B58">
        <v>2014</v>
      </c>
      <c r="C58" t="s">
        <v>40</v>
      </c>
      <c r="D58">
        <v>114.8</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113.9</v>
      </c>
      <c r="W58">
        <v>115.2</v>
      </c>
      <c r="X58">
        <v>112.7</v>
      </c>
      <c r="Y58">
        <v>113.1</v>
      </c>
      <c r="Z58">
        <v>112.1</v>
      </c>
      <c r="AA58">
        <v>116.8</v>
      </c>
      <c r="AB58">
        <v>109.2</v>
      </c>
      <c r="AC58">
        <v>113.3</v>
      </c>
      <c r="AD58">
        <v>119.2</v>
      </c>
      <c r="AE58">
        <f t="shared" si="0"/>
        <v>124.7</v>
      </c>
      <c r="AF58">
        <f t="shared" si="1"/>
        <v>114.8</v>
      </c>
      <c r="AG58">
        <f t="shared" si="2"/>
        <v>116.8</v>
      </c>
      <c r="AH58">
        <f t="shared" si="3"/>
        <v>113.9</v>
      </c>
      <c r="AI58">
        <f t="shared" si="4"/>
        <v>112.7</v>
      </c>
      <c r="AJ58">
        <f t="shared" si="5"/>
        <v>113.1</v>
      </c>
      <c r="AK58">
        <f t="shared" si="6"/>
        <v>114.15</v>
      </c>
      <c r="AL58">
        <f t="shared" si="7"/>
        <v>112.1</v>
      </c>
      <c r="AM58">
        <f t="shared" si="8"/>
        <v>118.8</v>
      </c>
      <c r="AN58">
        <f t="shared" si="9"/>
        <v>114.25</v>
      </c>
      <c r="AO58">
        <f t="shared" si="10"/>
        <v>115.53000000000002</v>
      </c>
    </row>
    <row r="59" spans="1:41" hidden="1" x14ac:dyDescent="0.45">
      <c r="A59" t="s">
        <v>30</v>
      </c>
      <c r="B59">
        <v>2014</v>
      </c>
      <c r="C59" t="s">
        <v>41</v>
      </c>
      <c r="D59" t="s">
        <v>32</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v>115.4</v>
      </c>
      <c r="W59">
        <v>115.9</v>
      </c>
      <c r="X59">
        <v>114</v>
      </c>
      <c r="Y59">
        <v>113.2</v>
      </c>
      <c r="Z59">
        <v>112.2</v>
      </c>
      <c r="AA59">
        <v>116.2</v>
      </c>
      <c r="AB59">
        <v>109.4</v>
      </c>
      <c r="AC59">
        <v>113.5</v>
      </c>
      <c r="AD59">
        <v>120.7</v>
      </c>
      <c r="AE59">
        <f t="shared" si="0"/>
        <v>125.3</v>
      </c>
      <c r="AF59" t="str">
        <f t="shared" si="1"/>
        <v>NA</v>
      </c>
      <c r="AG59">
        <f t="shared" si="2"/>
        <v>116.2</v>
      </c>
      <c r="AH59">
        <f t="shared" si="3"/>
        <v>115.4</v>
      </c>
      <c r="AI59">
        <f t="shared" si="4"/>
        <v>114</v>
      </c>
      <c r="AJ59">
        <f t="shared" si="5"/>
        <v>113.2</v>
      </c>
      <c r="AK59">
        <f t="shared" si="6"/>
        <v>115.05000000000001</v>
      </c>
      <c r="AL59">
        <f t="shared" si="7"/>
        <v>112.2</v>
      </c>
      <c r="AM59">
        <f t="shared" si="8"/>
        <v>118.8</v>
      </c>
      <c r="AN59">
        <f t="shared" si="9"/>
        <v>114.7</v>
      </c>
      <c r="AO59">
        <f t="shared" si="10"/>
        <v>116.09444444444446</v>
      </c>
    </row>
    <row r="60" spans="1:41" hidden="1" x14ac:dyDescent="0.45">
      <c r="A60" t="s">
        <v>33</v>
      </c>
      <c r="B60">
        <v>2014</v>
      </c>
      <c r="C60" t="s">
        <v>41</v>
      </c>
      <c r="D60">
        <v>115.5</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111.8</v>
      </c>
      <c r="W60">
        <v>115.3</v>
      </c>
      <c r="X60">
        <v>112.2</v>
      </c>
      <c r="Y60">
        <v>112.5</v>
      </c>
      <c r="Z60">
        <v>112.9</v>
      </c>
      <c r="AA60">
        <v>119.2</v>
      </c>
      <c r="AB60">
        <v>110.5</v>
      </c>
      <c r="AC60">
        <v>113.9</v>
      </c>
      <c r="AD60">
        <v>119.9</v>
      </c>
      <c r="AE60">
        <f t="shared" si="0"/>
        <v>128.9</v>
      </c>
      <c r="AF60">
        <f t="shared" si="1"/>
        <v>115.5</v>
      </c>
      <c r="AG60">
        <f t="shared" si="2"/>
        <v>119.2</v>
      </c>
      <c r="AH60">
        <f t="shared" si="3"/>
        <v>111.8</v>
      </c>
      <c r="AI60">
        <f t="shared" si="4"/>
        <v>112.2</v>
      </c>
      <c r="AJ60">
        <f t="shared" si="5"/>
        <v>112.5</v>
      </c>
      <c r="AK60">
        <f t="shared" si="6"/>
        <v>114.2</v>
      </c>
      <c r="AL60">
        <f t="shared" si="7"/>
        <v>112.9</v>
      </c>
      <c r="AM60">
        <f t="shared" si="8"/>
        <v>123</v>
      </c>
      <c r="AN60">
        <f t="shared" si="9"/>
        <v>114.6</v>
      </c>
      <c r="AO60">
        <f t="shared" si="10"/>
        <v>116.47999999999999</v>
      </c>
    </row>
    <row r="61" spans="1:41" hidden="1" x14ac:dyDescent="0.45">
      <c r="A61" t="s">
        <v>34</v>
      </c>
      <c r="B61">
        <v>2014</v>
      </c>
      <c r="C61" t="s">
        <v>41</v>
      </c>
      <c r="D61">
        <v>115.5</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114</v>
      </c>
      <c r="W61">
        <v>115.6</v>
      </c>
      <c r="X61">
        <v>113.3</v>
      </c>
      <c r="Y61">
        <v>112.8</v>
      </c>
      <c r="Z61">
        <v>112.6</v>
      </c>
      <c r="AA61">
        <v>118</v>
      </c>
      <c r="AB61">
        <v>109.9</v>
      </c>
      <c r="AC61">
        <v>113.7</v>
      </c>
      <c r="AD61">
        <v>120.3</v>
      </c>
      <c r="AE61">
        <f t="shared" si="0"/>
        <v>126.6</v>
      </c>
      <c r="AF61">
        <f t="shared" si="1"/>
        <v>115.5</v>
      </c>
      <c r="AG61">
        <f t="shared" si="2"/>
        <v>118</v>
      </c>
      <c r="AH61">
        <f t="shared" si="3"/>
        <v>114</v>
      </c>
      <c r="AI61">
        <f t="shared" si="4"/>
        <v>113.3</v>
      </c>
      <c r="AJ61">
        <f t="shared" si="5"/>
        <v>112.8</v>
      </c>
      <c r="AK61">
        <f t="shared" si="6"/>
        <v>114.75</v>
      </c>
      <c r="AL61">
        <f t="shared" si="7"/>
        <v>112.6</v>
      </c>
      <c r="AM61">
        <f t="shared" si="8"/>
        <v>119.9</v>
      </c>
      <c r="AN61">
        <f t="shared" si="9"/>
        <v>114.65</v>
      </c>
      <c r="AO61">
        <f t="shared" si="10"/>
        <v>116.21000000000001</v>
      </c>
    </row>
    <row r="62" spans="1:41" hidden="1" x14ac:dyDescent="0.45">
      <c r="A62" t="s">
        <v>30</v>
      </c>
      <c r="B62">
        <v>2014</v>
      </c>
      <c r="C62" t="s">
        <v>42</v>
      </c>
      <c r="D62" t="s">
        <v>32</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v>115.8</v>
      </c>
      <c r="W62">
        <v>116.7</v>
      </c>
      <c r="X62">
        <v>114.5</v>
      </c>
      <c r="Y62">
        <v>112.8</v>
      </c>
      <c r="Z62">
        <v>112.6</v>
      </c>
      <c r="AA62">
        <v>116.6</v>
      </c>
      <c r="AB62">
        <v>109.1</v>
      </c>
      <c r="AC62">
        <v>113.7</v>
      </c>
      <c r="AD62">
        <v>120.9</v>
      </c>
      <c r="AE62">
        <f t="shared" si="0"/>
        <v>125.3</v>
      </c>
      <c r="AF62" t="str">
        <f t="shared" si="1"/>
        <v>NA</v>
      </c>
      <c r="AG62">
        <f t="shared" si="2"/>
        <v>116.6</v>
      </c>
      <c r="AH62">
        <f t="shared" si="3"/>
        <v>115.8</v>
      </c>
      <c r="AI62">
        <f t="shared" si="4"/>
        <v>114.5</v>
      </c>
      <c r="AJ62">
        <f t="shared" si="5"/>
        <v>112.8</v>
      </c>
      <c r="AK62">
        <f t="shared" si="6"/>
        <v>115.19999999999999</v>
      </c>
      <c r="AL62">
        <f t="shared" si="7"/>
        <v>112.6</v>
      </c>
      <c r="AM62">
        <f t="shared" si="8"/>
        <v>119.5</v>
      </c>
      <c r="AN62">
        <f t="shared" si="9"/>
        <v>115.2</v>
      </c>
      <c r="AO62">
        <f t="shared" si="10"/>
        <v>116.38888888888889</v>
      </c>
    </row>
    <row r="63" spans="1:41" hidden="1" x14ac:dyDescent="0.45">
      <c r="A63" t="s">
        <v>33</v>
      </c>
      <c r="B63">
        <v>2014</v>
      </c>
      <c r="C63" t="s">
        <v>42</v>
      </c>
      <c r="D63">
        <v>116.1</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111.8</v>
      </c>
      <c r="W63">
        <v>115.5</v>
      </c>
      <c r="X63">
        <v>112.3</v>
      </c>
      <c r="Y63">
        <v>111.2</v>
      </c>
      <c r="Z63">
        <v>113.4</v>
      </c>
      <c r="AA63">
        <v>120</v>
      </c>
      <c r="AB63">
        <v>110</v>
      </c>
      <c r="AC63">
        <v>113.6</v>
      </c>
      <c r="AD63">
        <v>119.2</v>
      </c>
      <c r="AE63">
        <f t="shared" si="0"/>
        <v>126.7</v>
      </c>
      <c r="AF63">
        <f t="shared" si="1"/>
        <v>116.1</v>
      </c>
      <c r="AG63">
        <f t="shared" si="2"/>
        <v>120</v>
      </c>
      <c r="AH63">
        <f t="shared" si="3"/>
        <v>111.8</v>
      </c>
      <c r="AI63">
        <f t="shared" si="4"/>
        <v>112.3</v>
      </c>
      <c r="AJ63">
        <f t="shared" si="5"/>
        <v>111.2</v>
      </c>
      <c r="AK63">
        <f t="shared" si="6"/>
        <v>114.2</v>
      </c>
      <c r="AL63">
        <f t="shared" si="7"/>
        <v>113.4</v>
      </c>
      <c r="AM63">
        <f t="shared" si="8"/>
        <v>124.3</v>
      </c>
      <c r="AN63">
        <f t="shared" si="9"/>
        <v>114.55</v>
      </c>
      <c r="AO63">
        <f t="shared" si="10"/>
        <v>116.455</v>
      </c>
    </row>
    <row r="64" spans="1:41" hidden="1" x14ac:dyDescent="0.45">
      <c r="A64" t="s">
        <v>34</v>
      </c>
      <c r="B64">
        <v>2014</v>
      </c>
      <c r="C64" t="s">
        <v>42</v>
      </c>
      <c r="D64">
        <v>116.1</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114.3</v>
      </c>
      <c r="W64">
        <v>116.1</v>
      </c>
      <c r="X64">
        <v>113.7</v>
      </c>
      <c r="Y64">
        <v>112</v>
      </c>
      <c r="Z64">
        <v>113.1</v>
      </c>
      <c r="AA64">
        <v>118.6</v>
      </c>
      <c r="AB64">
        <v>109.5</v>
      </c>
      <c r="AC64">
        <v>113.7</v>
      </c>
      <c r="AD64">
        <v>120.1</v>
      </c>
      <c r="AE64">
        <f t="shared" si="0"/>
        <v>125.8</v>
      </c>
      <c r="AF64">
        <f t="shared" si="1"/>
        <v>116.1</v>
      </c>
      <c r="AG64">
        <f t="shared" si="2"/>
        <v>118.6</v>
      </c>
      <c r="AH64">
        <f t="shared" si="3"/>
        <v>114.3</v>
      </c>
      <c r="AI64">
        <f t="shared" si="4"/>
        <v>113.7</v>
      </c>
      <c r="AJ64">
        <f t="shared" si="5"/>
        <v>112</v>
      </c>
      <c r="AK64">
        <f t="shared" si="6"/>
        <v>114.8</v>
      </c>
      <c r="AL64">
        <f t="shared" si="7"/>
        <v>113.1</v>
      </c>
      <c r="AM64">
        <f t="shared" si="8"/>
        <v>120.8</v>
      </c>
      <c r="AN64">
        <f t="shared" si="9"/>
        <v>114.9</v>
      </c>
      <c r="AO64">
        <f t="shared" si="10"/>
        <v>116.41000000000001</v>
      </c>
    </row>
    <row r="65" spans="1:41" hidden="1" x14ac:dyDescent="0.45">
      <c r="A65" t="s">
        <v>30</v>
      </c>
      <c r="B65">
        <v>2014</v>
      </c>
      <c r="C65" t="s">
        <v>43</v>
      </c>
      <c r="D65" t="s">
        <v>32</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v>116.4</v>
      </c>
      <c r="W65">
        <v>117.5</v>
      </c>
      <c r="X65">
        <v>115.3</v>
      </c>
      <c r="Y65">
        <v>112.6</v>
      </c>
      <c r="Z65">
        <v>113</v>
      </c>
      <c r="AA65">
        <v>116.9</v>
      </c>
      <c r="AB65">
        <v>109.3</v>
      </c>
      <c r="AC65">
        <v>114</v>
      </c>
      <c r="AD65">
        <v>121</v>
      </c>
      <c r="AE65">
        <f t="shared" si="0"/>
        <v>125.1</v>
      </c>
      <c r="AF65" t="str">
        <f t="shared" si="1"/>
        <v>NA</v>
      </c>
      <c r="AG65">
        <f t="shared" si="2"/>
        <v>116.9</v>
      </c>
      <c r="AH65">
        <f t="shared" si="3"/>
        <v>116.4</v>
      </c>
      <c r="AI65">
        <f t="shared" si="4"/>
        <v>115.3</v>
      </c>
      <c r="AJ65">
        <f t="shared" si="5"/>
        <v>112.6</v>
      </c>
      <c r="AK65">
        <f t="shared" si="6"/>
        <v>115.8</v>
      </c>
      <c r="AL65">
        <f t="shared" si="7"/>
        <v>113</v>
      </c>
      <c r="AM65">
        <f t="shared" si="8"/>
        <v>120</v>
      </c>
      <c r="AN65">
        <f t="shared" si="9"/>
        <v>115.75</v>
      </c>
      <c r="AO65">
        <f t="shared" si="10"/>
        <v>116.76111111111111</v>
      </c>
    </row>
    <row r="66" spans="1:41" hidden="1" x14ac:dyDescent="0.45">
      <c r="A66" t="s">
        <v>33</v>
      </c>
      <c r="B66">
        <v>2014</v>
      </c>
      <c r="C66" t="s">
        <v>43</v>
      </c>
      <c r="D66">
        <v>116.7</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112</v>
      </c>
      <c r="W66">
        <v>115.8</v>
      </c>
      <c r="X66">
        <v>112.6</v>
      </c>
      <c r="Y66">
        <v>111</v>
      </c>
      <c r="Z66">
        <v>113.6</v>
      </c>
      <c r="AA66">
        <v>120.2</v>
      </c>
      <c r="AB66">
        <v>110.1</v>
      </c>
      <c r="AC66">
        <v>113.7</v>
      </c>
      <c r="AD66">
        <v>119.1</v>
      </c>
      <c r="AE66">
        <f t="shared" si="0"/>
        <v>125.8</v>
      </c>
      <c r="AF66">
        <f t="shared" si="1"/>
        <v>116.7</v>
      </c>
      <c r="AG66">
        <f t="shared" si="2"/>
        <v>120.2</v>
      </c>
      <c r="AH66">
        <f t="shared" si="3"/>
        <v>112</v>
      </c>
      <c r="AI66">
        <f t="shared" si="4"/>
        <v>112.6</v>
      </c>
      <c r="AJ66">
        <f t="shared" si="5"/>
        <v>111</v>
      </c>
      <c r="AK66">
        <f t="shared" si="6"/>
        <v>114.5</v>
      </c>
      <c r="AL66">
        <f t="shared" si="7"/>
        <v>113.6</v>
      </c>
      <c r="AM66">
        <f t="shared" si="8"/>
        <v>124.3</v>
      </c>
      <c r="AN66">
        <f t="shared" si="9"/>
        <v>114.75</v>
      </c>
      <c r="AO66">
        <f t="shared" si="10"/>
        <v>116.545</v>
      </c>
    </row>
    <row r="67" spans="1:41" hidden="1" x14ac:dyDescent="0.45">
      <c r="A67" t="s">
        <v>34</v>
      </c>
      <c r="B67">
        <v>2014</v>
      </c>
      <c r="C67" t="s">
        <v>43</v>
      </c>
      <c r="D67">
        <v>116.7</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114.7</v>
      </c>
      <c r="W67">
        <v>116.7</v>
      </c>
      <c r="X67">
        <v>114.3</v>
      </c>
      <c r="Y67">
        <v>111.8</v>
      </c>
      <c r="Z67">
        <v>113.3</v>
      </c>
      <c r="AA67">
        <v>118.8</v>
      </c>
      <c r="AB67">
        <v>109.6</v>
      </c>
      <c r="AC67">
        <v>113.9</v>
      </c>
      <c r="AD67">
        <v>120.1</v>
      </c>
      <c r="AE67">
        <f t="shared" ref="AE67:AE130" si="11">Q67</f>
        <v>125.4</v>
      </c>
      <c r="AF67">
        <f t="shared" ref="AF67:AF130" si="12">D67</f>
        <v>116.7</v>
      </c>
      <c r="AG67">
        <f t="shared" ref="AG67:AG130" si="13">AA67</f>
        <v>118.8</v>
      </c>
      <c r="AH67">
        <f t="shared" ref="AH67:AH130" si="14">V67</f>
        <v>114.7</v>
      </c>
      <c r="AI67">
        <f t="shared" ref="AI67:AI130" si="15">X67</f>
        <v>114.3</v>
      </c>
      <c r="AJ67">
        <f t="shared" ref="AJ67:AJ130" si="16">Y67</f>
        <v>111.8</v>
      </c>
      <c r="AK67">
        <f t="shared" ref="AK67:AK130" si="17">AVERAGE(U67,AB67)</f>
        <v>115.3</v>
      </c>
      <c r="AL67">
        <f t="shared" ref="AL67:AL130" si="18">Z67</f>
        <v>113.3</v>
      </c>
      <c r="AM67">
        <f t="shared" ref="AM67:AM130" si="19">R67</f>
        <v>121.1</v>
      </c>
      <c r="AN67">
        <f t="shared" ref="AN67:AN130" si="20">AVERAGE(W67,AC67)</f>
        <v>115.30000000000001</v>
      </c>
      <c r="AO67">
        <f t="shared" ref="AO67:AO130" si="21">AVERAGE(AE67:AN67)</f>
        <v>116.66999999999999</v>
      </c>
    </row>
    <row r="68" spans="1:41" hidden="1" x14ac:dyDescent="0.45">
      <c r="A68" t="s">
        <v>30</v>
      </c>
      <c r="B68">
        <v>2014</v>
      </c>
      <c r="C68" t="s">
        <v>45</v>
      </c>
      <c r="D68" t="s">
        <v>32</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v>117.3</v>
      </c>
      <c r="W68">
        <v>118.1</v>
      </c>
      <c r="X68">
        <v>115.9</v>
      </c>
      <c r="Y68">
        <v>112</v>
      </c>
      <c r="Z68">
        <v>113.3</v>
      </c>
      <c r="AA68">
        <v>117.2</v>
      </c>
      <c r="AB68">
        <v>108.8</v>
      </c>
      <c r="AC68">
        <v>114.1</v>
      </c>
      <c r="AD68">
        <v>121.1</v>
      </c>
      <c r="AE68">
        <f t="shared" si="11"/>
        <v>124.9</v>
      </c>
      <c r="AF68" t="str">
        <f t="shared" si="12"/>
        <v>NA</v>
      </c>
      <c r="AG68">
        <f t="shared" si="13"/>
        <v>117.2</v>
      </c>
      <c r="AH68">
        <f t="shared" si="14"/>
        <v>117.3</v>
      </c>
      <c r="AI68">
        <f t="shared" si="15"/>
        <v>115.9</v>
      </c>
      <c r="AJ68">
        <f t="shared" si="16"/>
        <v>112</v>
      </c>
      <c r="AK68">
        <f t="shared" si="17"/>
        <v>115.85</v>
      </c>
      <c r="AL68">
        <f t="shared" si="18"/>
        <v>113.3</v>
      </c>
      <c r="AM68">
        <f t="shared" si="19"/>
        <v>120.8</v>
      </c>
      <c r="AN68">
        <f t="shared" si="20"/>
        <v>116.1</v>
      </c>
      <c r="AO68">
        <f t="shared" si="21"/>
        <v>117.03888888888888</v>
      </c>
    </row>
    <row r="69" spans="1:41" hidden="1" x14ac:dyDescent="0.45">
      <c r="A69" t="s">
        <v>33</v>
      </c>
      <c r="B69">
        <v>2014</v>
      </c>
      <c r="C69" t="s">
        <v>45</v>
      </c>
      <c r="D69">
        <v>117.1</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112.6</v>
      </c>
      <c r="W69">
        <v>116.4</v>
      </c>
      <c r="X69">
        <v>113</v>
      </c>
      <c r="Y69">
        <v>109.7</v>
      </c>
      <c r="Z69">
        <v>114</v>
      </c>
      <c r="AA69">
        <v>120.3</v>
      </c>
      <c r="AB69">
        <v>109.6</v>
      </c>
      <c r="AC69">
        <v>113.4</v>
      </c>
      <c r="AD69">
        <v>119</v>
      </c>
      <c r="AE69">
        <f t="shared" si="11"/>
        <v>125.4</v>
      </c>
      <c r="AF69">
        <f t="shared" si="12"/>
        <v>117.1</v>
      </c>
      <c r="AG69">
        <f t="shared" si="13"/>
        <v>120.3</v>
      </c>
      <c r="AH69">
        <f t="shared" si="14"/>
        <v>112.6</v>
      </c>
      <c r="AI69">
        <f t="shared" si="15"/>
        <v>113</v>
      </c>
      <c r="AJ69">
        <f t="shared" si="16"/>
        <v>109.7</v>
      </c>
      <c r="AK69">
        <f t="shared" si="17"/>
        <v>114.55</v>
      </c>
      <c r="AL69">
        <f t="shared" si="18"/>
        <v>114</v>
      </c>
      <c r="AM69">
        <f t="shared" si="19"/>
        <v>125.8</v>
      </c>
      <c r="AN69">
        <f t="shared" si="20"/>
        <v>114.9</v>
      </c>
      <c r="AO69">
        <f t="shared" si="21"/>
        <v>116.73500000000001</v>
      </c>
    </row>
    <row r="70" spans="1:41" hidden="1" x14ac:dyDescent="0.45">
      <c r="A70" t="s">
        <v>34</v>
      </c>
      <c r="B70">
        <v>2014</v>
      </c>
      <c r="C70" t="s">
        <v>45</v>
      </c>
      <c r="D70">
        <v>117.1</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115.5</v>
      </c>
      <c r="W70">
        <v>117.3</v>
      </c>
      <c r="X70">
        <v>114.8</v>
      </c>
      <c r="Y70">
        <v>110.8</v>
      </c>
      <c r="Z70">
        <v>113.7</v>
      </c>
      <c r="AA70">
        <v>119</v>
      </c>
      <c r="AB70">
        <v>109.1</v>
      </c>
      <c r="AC70">
        <v>113.8</v>
      </c>
      <c r="AD70">
        <v>120.1</v>
      </c>
      <c r="AE70">
        <f t="shared" si="11"/>
        <v>125.1</v>
      </c>
      <c r="AF70">
        <f t="shared" si="12"/>
        <v>117.1</v>
      </c>
      <c r="AG70">
        <f t="shared" si="13"/>
        <v>119</v>
      </c>
      <c r="AH70">
        <f t="shared" si="14"/>
        <v>115.5</v>
      </c>
      <c r="AI70">
        <f t="shared" si="15"/>
        <v>114.8</v>
      </c>
      <c r="AJ70">
        <f t="shared" si="16"/>
        <v>110.8</v>
      </c>
      <c r="AK70">
        <f t="shared" si="17"/>
        <v>115.35</v>
      </c>
      <c r="AL70">
        <f t="shared" si="18"/>
        <v>113.7</v>
      </c>
      <c r="AM70">
        <f t="shared" si="19"/>
        <v>122.1</v>
      </c>
      <c r="AN70">
        <f t="shared" si="20"/>
        <v>115.55</v>
      </c>
      <c r="AO70">
        <f t="shared" si="21"/>
        <v>116.9</v>
      </c>
    </row>
    <row r="71" spans="1:41" hidden="1" x14ac:dyDescent="0.45">
      <c r="A71" t="s">
        <v>30</v>
      </c>
      <c r="B71">
        <v>2014</v>
      </c>
      <c r="C71" t="s">
        <v>46</v>
      </c>
      <c r="D71" t="s">
        <v>32</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v>117.4</v>
      </c>
      <c r="W71">
        <v>118.2</v>
      </c>
      <c r="X71">
        <v>116.2</v>
      </c>
      <c r="Y71">
        <v>111.5</v>
      </c>
      <c r="Z71">
        <v>113.3</v>
      </c>
      <c r="AA71">
        <v>117.7</v>
      </c>
      <c r="AB71">
        <v>109.4</v>
      </c>
      <c r="AC71">
        <v>114.2</v>
      </c>
      <c r="AD71">
        <v>120.3</v>
      </c>
      <c r="AE71">
        <f t="shared" si="11"/>
        <v>123.3</v>
      </c>
      <c r="AF71" t="str">
        <f t="shared" si="12"/>
        <v>NA</v>
      </c>
      <c r="AG71">
        <f t="shared" si="13"/>
        <v>117.7</v>
      </c>
      <c r="AH71">
        <f t="shared" si="14"/>
        <v>117.4</v>
      </c>
      <c r="AI71">
        <f t="shared" si="15"/>
        <v>116.2</v>
      </c>
      <c r="AJ71">
        <f t="shared" si="16"/>
        <v>111.5</v>
      </c>
      <c r="AK71">
        <f t="shared" si="17"/>
        <v>116.35</v>
      </c>
      <c r="AL71">
        <f t="shared" si="18"/>
        <v>113.3</v>
      </c>
      <c r="AM71">
        <f t="shared" si="19"/>
        <v>121.7</v>
      </c>
      <c r="AN71">
        <f t="shared" si="20"/>
        <v>116.2</v>
      </c>
      <c r="AO71">
        <f t="shared" si="21"/>
        <v>117.07222222222221</v>
      </c>
    </row>
    <row r="72" spans="1:41" hidden="1" x14ac:dyDescent="0.45">
      <c r="A72" t="s">
        <v>33</v>
      </c>
      <c r="B72">
        <v>2014</v>
      </c>
      <c r="C72" t="s">
        <v>46</v>
      </c>
      <c r="D72">
        <v>116.5</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113</v>
      </c>
      <c r="W72">
        <v>116.8</v>
      </c>
      <c r="X72">
        <v>113.2</v>
      </c>
      <c r="Y72">
        <v>108.8</v>
      </c>
      <c r="Z72">
        <v>114.3</v>
      </c>
      <c r="AA72">
        <v>120.7</v>
      </c>
      <c r="AB72">
        <v>110.4</v>
      </c>
      <c r="AC72">
        <v>113.4</v>
      </c>
      <c r="AD72">
        <v>118.4</v>
      </c>
      <c r="AE72">
        <f t="shared" si="11"/>
        <v>124</v>
      </c>
      <c r="AF72">
        <f t="shared" si="12"/>
        <v>116.5</v>
      </c>
      <c r="AG72">
        <f t="shared" si="13"/>
        <v>120.7</v>
      </c>
      <c r="AH72">
        <f t="shared" si="14"/>
        <v>113</v>
      </c>
      <c r="AI72">
        <f t="shared" si="15"/>
        <v>113.2</v>
      </c>
      <c r="AJ72">
        <f t="shared" si="16"/>
        <v>108.8</v>
      </c>
      <c r="AK72">
        <f t="shared" si="17"/>
        <v>115.2</v>
      </c>
      <c r="AL72">
        <f t="shared" si="18"/>
        <v>114.3</v>
      </c>
      <c r="AM72">
        <f t="shared" si="19"/>
        <v>126.4</v>
      </c>
      <c r="AN72">
        <f t="shared" si="20"/>
        <v>115.1</v>
      </c>
      <c r="AO72">
        <f t="shared" si="21"/>
        <v>116.71999999999998</v>
      </c>
    </row>
    <row r="73" spans="1:41" hidden="1" x14ac:dyDescent="0.45">
      <c r="A73" t="s">
        <v>34</v>
      </c>
      <c r="B73">
        <v>2014</v>
      </c>
      <c r="C73" t="s">
        <v>46</v>
      </c>
      <c r="D73">
        <v>116.5</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115.7</v>
      </c>
      <c r="W73">
        <v>117.5</v>
      </c>
      <c r="X73">
        <v>115.1</v>
      </c>
      <c r="Y73">
        <v>110.1</v>
      </c>
      <c r="Z73">
        <v>113.9</v>
      </c>
      <c r="AA73">
        <v>119.5</v>
      </c>
      <c r="AB73">
        <v>109.8</v>
      </c>
      <c r="AC73">
        <v>113.8</v>
      </c>
      <c r="AD73">
        <v>119.4</v>
      </c>
      <c r="AE73">
        <f t="shared" si="11"/>
        <v>123.6</v>
      </c>
      <c r="AF73">
        <f t="shared" si="12"/>
        <v>116.5</v>
      </c>
      <c r="AG73">
        <f t="shared" si="13"/>
        <v>119.5</v>
      </c>
      <c r="AH73">
        <f t="shared" si="14"/>
        <v>115.7</v>
      </c>
      <c r="AI73">
        <f t="shared" si="15"/>
        <v>115.1</v>
      </c>
      <c r="AJ73">
        <f t="shared" si="16"/>
        <v>110.1</v>
      </c>
      <c r="AK73">
        <f t="shared" si="17"/>
        <v>115.9</v>
      </c>
      <c r="AL73">
        <f t="shared" si="18"/>
        <v>113.9</v>
      </c>
      <c r="AM73">
        <f t="shared" si="19"/>
        <v>123</v>
      </c>
      <c r="AN73">
        <f t="shared" si="20"/>
        <v>115.65</v>
      </c>
      <c r="AO73">
        <f t="shared" si="21"/>
        <v>116.89500000000001</v>
      </c>
    </row>
    <row r="74" spans="1:41" hidden="1" x14ac:dyDescent="0.45">
      <c r="A74" t="s">
        <v>30</v>
      </c>
      <c r="B74">
        <v>2015</v>
      </c>
      <c r="C74" t="s">
        <v>31</v>
      </c>
      <c r="D74" t="s">
        <v>32</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v>118.4</v>
      </c>
      <c r="W74">
        <v>118.9</v>
      </c>
      <c r="X74">
        <v>116.6</v>
      </c>
      <c r="Y74">
        <v>111</v>
      </c>
      <c r="Z74">
        <v>114</v>
      </c>
      <c r="AA74">
        <v>118.2</v>
      </c>
      <c r="AB74">
        <v>110.2</v>
      </c>
      <c r="AC74">
        <v>114.5</v>
      </c>
      <c r="AD74">
        <v>120.3</v>
      </c>
      <c r="AE74">
        <f t="shared" si="11"/>
        <v>122.8</v>
      </c>
      <c r="AF74" t="str">
        <f t="shared" si="12"/>
        <v>NA</v>
      </c>
      <c r="AG74">
        <f t="shared" si="13"/>
        <v>118.2</v>
      </c>
      <c r="AH74">
        <f t="shared" si="14"/>
        <v>118.4</v>
      </c>
      <c r="AI74">
        <f t="shared" si="15"/>
        <v>116.6</v>
      </c>
      <c r="AJ74">
        <f t="shared" si="16"/>
        <v>111</v>
      </c>
      <c r="AK74">
        <f t="shared" si="17"/>
        <v>117.1</v>
      </c>
      <c r="AL74">
        <f t="shared" si="18"/>
        <v>114</v>
      </c>
      <c r="AM74">
        <f t="shared" si="19"/>
        <v>122.7</v>
      </c>
      <c r="AN74">
        <f t="shared" si="20"/>
        <v>116.7</v>
      </c>
      <c r="AO74">
        <f t="shared" si="21"/>
        <v>117.5</v>
      </c>
    </row>
    <row r="75" spans="1:41" hidden="1" x14ac:dyDescent="0.45">
      <c r="A75" t="s">
        <v>33</v>
      </c>
      <c r="B75">
        <v>2015</v>
      </c>
      <c r="C75" t="s">
        <v>31</v>
      </c>
      <c r="D75">
        <v>117.3</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113.4</v>
      </c>
      <c r="W75">
        <v>117.2</v>
      </c>
      <c r="X75">
        <v>113.7</v>
      </c>
      <c r="Y75">
        <v>107.9</v>
      </c>
      <c r="Z75">
        <v>114.6</v>
      </c>
      <c r="AA75">
        <v>120.8</v>
      </c>
      <c r="AB75">
        <v>111.4</v>
      </c>
      <c r="AC75">
        <v>113.4</v>
      </c>
      <c r="AD75">
        <v>118.5</v>
      </c>
      <c r="AE75">
        <f t="shared" si="11"/>
        <v>123.5</v>
      </c>
      <c r="AF75">
        <f t="shared" si="12"/>
        <v>117.3</v>
      </c>
      <c r="AG75">
        <f t="shared" si="13"/>
        <v>120.8</v>
      </c>
      <c r="AH75">
        <f t="shared" si="14"/>
        <v>113.4</v>
      </c>
      <c r="AI75">
        <f t="shared" si="15"/>
        <v>113.7</v>
      </c>
      <c r="AJ75">
        <f t="shared" si="16"/>
        <v>107.9</v>
      </c>
      <c r="AK75">
        <f t="shared" si="17"/>
        <v>115.80000000000001</v>
      </c>
      <c r="AL75">
        <f t="shared" si="18"/>
        <v>114.6</v>
      </c>
      <c r="AM75">
        <f t="shared" si="19"/>
        <v>127.4</v>
      </c>
      <c r="AN75">
        <f t="shared" si="20"/>
        <v>115.30000000000001</v>
      </c>
      <c r="AO75">
        <f t="shared" si="21"/>
        <v>116.97</v>
      </c>
    </row>
    <row r="76" spans="1:41" hidden="1" x14ac:dyDescent="0.45">
      <c r="A76" t="s">
        <v>34</v>
      </c>
      <c r="B76">
        <v>2015</v>
      </c>
      <c r="C76" t="s">
        <v>31</v>
      </c>
      <c r="D76">
        <v>117.3</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116.5</v>
      </c>
      <c r="W76">
        <v>118.1</v>
      </c>
      <c r="X76">
        <v>115.5</v>
      </c>
      <c r="Y76">
        <v>109.4</v>
      </c>
      <c r="Z76">
        <v>114.3</v>
      </c>
      <c r="AA76">
        <v>119.7</v>
      </c>
      <c r="AB76">
        <v>110.7</v>
      </c>
      <c r="AC76">
        <v>114</v>
      </c>
      <c r="AD76">
        <v>119.5</v>
      </c>
      <c r="AE76">
        <f t="shared" si="11"/>
        <v>123.1</v>
      </c>
      <c r="AF76">
        <f t="shared" si="12"/>
        <v>117.3</v>
      </c>
      <c r="AG76">
        <f t="shared" si="13"/>
        <v>119.7</v>
      </c>
      <c r="AH76">
        <f t="shared" si="14"/>
        <v>116.5</v>
      </c>
      <c r="AI76">
        <f t="shared" si="15"/>
        <v>115.5</v>
      </c>
      <c r="AJ76">
        <f t="shared" si="16"/>
        <v>109.4</v>
      </c>
      <c r="AK76">
        <f t="shared" si="17"/>
        <v>116.6</v>
      </c>
      <c r="AL76">
        <f t="shared" si="18"/>
        <v>114.3</v>
      </c>
      <c r="AM76">
        <f t="shared" si="19"/>
        <v>124</v>
      </c>
      <c r="AN76">
        <f t="shared" si="20"/>
        <v>116.05</v>
      </c>
      <c r="AO76">
        <f t="shared" si="21"/>
        <v>117.24499999999998</v>
      </c>
    </row>
    <row r="77" spans="1:41" hidden="1" x14ac:dyDescent="0.45">
      <c r="A77" t="s">
        <v>30</v>
      </c>
      <c r="B77">
        <v>2015</v>
      </c>
      <c r="C77" t="s">
        <v>35</v>
      </c>
      <c r="D77" t="s">
        <v>32</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v>120</v>
      </c>
      <c r="W77">
        <v>119.6</v>
      </c>
      <c r="X77">
        <v>117.7</v>
      </c>
      <c r="Y77">
        <v>110.9</v>
      </c>
      <c r="Z77">
        <v>114.8</v>
      </c>
      <c r="AA77">
        <v>118.7</v>
      </c>
      <c r="AB77">
        <v>110.8</v>
      </c>
      <c r="AC77">
        <v>115</v>
      </c>
      <c r="AD77">
        <v>120.6</v>
      </c>
      <c r="AE77">
        <f t="shared" si="11"/>
        <v>122.8</v>
      </c>
      <c r="AF77" t="str">
        <f t="shared" si="12"/>
        <v>NA</v>
      </c>
      <c r="AG77">
        <f t="shared" si="13"/>
        <v>118.7</v>
      </c>
      <c r="AH77">
        <f t="shared" si="14"/>
        <v>120</v>
      </c>
      <c r="AI77">
        <f t="shared" si="15"/>
        <v>117.7</v>
      </c>
      <c r="AJ77">
        <f t="shared" si="16"/>
        <v>110.9</v>
      </c>
      <c r="AK77">
        <f t="shared" si="17"/>
        <v>117.9</v>
      </c>
      <c r="AL77">
        <f t="shared" si="18"/>
        <v>114.8</v>
      </c>
      <c r="AM77">
        <f t="shared" si="19"/>
        <v>124.2</v>
      </c>
      <c r="AN77">
        <f t="shared" si="20"/>
        <v>117.3</v>
      </c>
      <c r="AO77">
        <f t="shared" si="21"/>
        <v>118.25555555555555</v>
      </c>
    </row>
    <row r="78" spans="1:41" hidden="1" x14ac:dyDescent="0.45">
      <c r="A78" t="s">
        <v>33</v>
      </c>
      <c r="B78">
        <v>2015</v>
      </c>
      <c r="C78" t="s">
        <v>35</v>
      </c>
      <c r="D78">
        <v>118.1</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114</v>
      </c>
      <c r="W78">
        <v>117.7</v>
      </c>
      <c r="X78">
        <v>114.1</v>
      </c>
      <c r="Y78">
        <v>106.8</v>
      </c>
      <c r="Z78">
        <v>114.9</v>
      </c>
      <c r="AA78">
        <v>120.4</v>
      </c>
      <c r="AB78">
        <v>111.7</v>
      </c>
      <c r="AC78">
        <v>113.2</v>
      </c>
      <c r="AD78">
        <v>118.7</v>
      </c>
      <c r="AE78">
        <f t="shared" si="11"/>
        <v>123.7</v>
      </c>
      <c r="AF78">
        <f t="shared" si="12"/>
        <v>118.1</v>
      </c>
      <c r="AG78">
        <f t="shared" si="13"/>
        <v>120.4</v>
      </c>
      <c r="AH78">
        <f t="shared" si="14"/>
        <v>114</v>
      </c>
      <c r="AI78">
        <f t="shared" si="15"/>
        <v>114.1</v>
      </c>
      <c r="AJ78">
        <f t="shared" si="16"/>
        <v>106.8</v>
      </c>
      <c r="AK78">
        <f t="shared" si="17"/>
        <v>116.15</v>
      </c>
      <c r="AL78">
        <f t="shared" si="18"/>
        <v>114.9</v>
      </c>
      <c r="AM78">
        <f t="shared" si="19"/>
        <v>128.1</v>
      </c>
      <c r="AN78">
        <f t="shared" si="20"/>
        <v>115.45</v>
      </c>
      <c r="AO78">
        <f t="shared" si="21"/>
        <v>117.17</v>
      </c>
    </row>
    <row r="79" spans="1:41" hidden="1" x14ac:dyDescent="0.45">
      <c r="A79" t="s">
        <v>34</v>
      </c>
      <c r="B79">
        <v>2015</v>
      </c>
      <c r="C79" t="s">
        <v>35</v>
      </c>
      <c r="D79">
        <v>118.1</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117.7</v>
      </c>
      <c r="W79">
        <v>118.7</v>
      </c>
      <c r="X79">
        <v>116.3</v>
      </c>
      <c r="Y79">
        <v>108.7</v>
      </c>
      <c r="Z79">
        <v>114.9</v>
      </c>
      <c r="AA79">
        <v>119.7</v>
      </c>
      <c r="AB79">
        <v>111.2</v>
      </c>
      <c r="AC79">
        <v>114.1</v>
      </c>
      <c r="AD79">
        <v>119.7</v>
      </c>
      <c r="AE79">
        <f t="shared" si="11"/>
        <v>123.1</v>
      </c>
      <c r="AF79">
        <f t="shared" si="12"/>
        <v>118.1</v>
      </c>
      <c r="AG79">
        <f t="shared" si="13"/>
        <v>119.7</v>
      </c>
      <c r="AH79">
        <f t="shared" si="14"/>
        <v>117.7</v>
      </c>
      <c r="AI79">
        <f t="shared" si="15"/>
        <v>116.3</v>
      </c>
      <c r="AJ79">
        <f t="shared" si="16"/>
        <v>108.7</v>
      </c>
      <c r="AK79">
        <f t="shared" si="17"/>
        <v>117.25</v>
      </c>
      <c r="AL79">
        <f t="shared" si="18"/>
        <v>114.9</v>
      </c>
      <c r="AM79">
        <f t="shared" si="19"/>
        <v>125.2</v>
      </c>
      <c r="AN79">
        <f t="shared" si="20"/>
        <v>116.4</v>
      </c>
      <c r="AO79">
        <f t="shared" si="21"/>
        <v>117.73500000000001</v>
      </c>
    </row>
    <row r="80" spans="1:41" hidden="1" x14ac:dyDescent="0.45">
      <c r="A80" t="s">
        <v>30</v>
      </c>
      <c r="B80">
        <v>2015</v>
      </c>
      <c r="C80" t="s">
        <v>36</v>
      </c>
      <c r="D80" t="s">
        <v>32</v>
      </c>
      <c r="E80">
        <v>123.3</v>
      </c>
      <c r="F80">
        <v>124.7</v>
      </c>
      <c r="G80">
        <v>118.9</v>
      </c>
      <c r="H80">
        <v>126</v>
      </c>
      <c r="I80">
        <v>111.8</v>
      </c>
      <c r="J80">
        <v>130.9</v>
      </c>
      <c r="K80">
        <v>128</v>
      </c>
      <c r="L80">
        <v>119.9</v>
      </c>
      <c r="M80">
        <v>98.9</v>
      </c>
      <c r="N80">
        <v>119.4</v>
      </c>
      <c r="O80">
        <v>118.9</v>
      </c>
      <c r="P80">
        <v>127.7</v>
      </c>
      <c r="Q80">
        <v>123.1</v>
      </c>
      <c r="R80">
        <v>124.7</v>
      </c>
      <c r="S80">
        <v>126</v>
      </c>
      <c r="T80">
        <v>122.9</v>
      </c>
      <c r="U80">
        <v>125.5</v>
      </c>
      <c r="V80">
        <v>120.6</v>
      </c>
      <c r="W80">
        <v>120.2</v>
      </c>
      <c r="X80">
        <v>118.2</v>
      </c>
      <c r="Y80">
        <v>111.6</v>
      </c>
      <c r="Z80">
        <v>115.5</v>
      </c>
      <c r="AA80">
        <v>119.4</v>
      </c>
      <c r="AB80">
        <v>110.8</v>
      </c>
      <c r="AC80">
        <v>115.5</v>
      </c>
      <c r="AD80">
        <v>121.1</v>
      </c>
      <c r="AE80">
        <f t="shared" si="11"/>
        <v>123.1</v>
      </c>
      <c r="AF80" t="str">
        <f t="shared" si="12"/>
        <v>NA</v>
      </c>
      <c r="AG80">
        <f t="shared" si="13"/>
        <v>119.4</v>
      </c>
      <c r="AH80">
        <f t="shared" si="14"/>
        <v>120.6</v>
      </c>
      <c r="AI80">
        <f t="shared" si="15"/>
        <v>118.2</v>
      </c>
      <c r="AJ80">
        <f t="shared" si="16"/>
        <v>111.6</v>
      </c>
      <c r="AK80">
        <f t="shared" si="17"/>
        <v>118.15</v>
      </c>
      <c r="AL80">
        <f t="shared" si="18"/>
        <v>115.5</v>
      </c>
      <c r="AM80">
        <f t="shared" si="19"/>
        <v>124.7</v>
      </c>
      <c r="AN80">
        <f t="shared" si="20"/>
        <v>117.85</v>
      </c>
      <c r="AO80">
        <f t="shared" si="21"/>
        <v>118.78888888888888</v>
      </c>
    </row>
    <row r="81" spans="1:41" hidden="1" x14ac:dyDescent="0.45">
      <c r="A81" t="s">
        <v>33</v>
      </c>
      <c r="B81">
        <v>2015</v>
      </c>
      <c r="C81" t="s">
        <v>36</v>
      </c>
      <c r="D81">
        <v>118.6</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114.4</v>
      </c>
      <c r="W81">
        <v>118</v>
      </c>
      <c r="X81">
        <v>114.3</v>
      </c>
      <c r="Y81">
        <v>108.4</v>
      </c>
      <c r="Z81">
        <v>115.4</v>
      </c>
      <c r="AA81">
        <v>120.6</v>
      </c>
      <c r="AB81">
        <v>111.3</v>
      </c>
      <c r="AC81">
        <v>113.8</v>
      </c>
      <c r="AD81">
        <v>119.1</v>
      </c>
      <c r="AE81">
        <f t="shared" si="11"/>
        <v>123.9</v>
      </c>
      <c r="AF81">
        <f t="shared" si="12"/>
        <v>118.6</v>
      </c>
      <c r="AG81">
        <f t="shared" si="13"/>
        <v>120.6</v>
      </c>
      <c r="AH81">
        <f t="shared" si="14"/>
        <v>114.4</v>
      </c>
      <c r="AI81">
        <f t="shared" si="15"/>
        <v>114.3</v>
      </c>
      <c r="AJ81">
        <f t="shared" si="16"/>
        <v>108.4</v>
      </c>
      <c r="AK81">
        <f t="shared" si="17"/>
        <v>116.1</v>
      </c>
      <c r="AL81">
        <f t="shared" si="18"/>
        <v>115.4</v>
      </c>
      <c r="AM81">
        <f t="shared" si="19"/>
        <v>128.80000000000001</v>
      </c>
      <c r="AN81">
        <f t="shared" si="20"/>
        <v>115.9</v>
      </c>
      <c r="AO81">
        <f t="shared" si="21"/>
        <v>117.64000000000001</v>
      </c>
    </row>
    <row r="82" spans="1:41" hidden="1" x14ac:dyDescent="0.45">
      <c r="A82" t="s">
        <v>34</v>
      </c>
      <c r="B82">
        <v>2015</v>
      </c>
      <c r="C82" t="s">
        <v>36</v>
      </c>
      <c r="D82">
        <v>118.6</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118.3</v>
      </c>
      <c r="W82">
        <v>119.2</v>
      </c>
      <c r="X82">
        <v>116.7</v>
      </c>
      <c r="Y82">
        <v>109.9</v>
      </c>
      <c r="Z82">
        <v>115.4</v>
      </c>
      <c r="AA82">
        <v>120.1</v>
      </c>
      <c r="AB82">
        <v>111</v>
      </c>
      <c r="AC82">
        <v>114.7</v>
      </c>
      <c r="AD82">
        <v>120.2</v>
      </c>
      <c r="AE82">
        <f t="shared" si="11"/>
        <v>123.4</v>
      </c>
      <c r="AF82">
        <f t="shared" si="12"/>
        <v>118.6</v>
      </c>
      <c r="AG82">
        <f t="shared" si="13"/>
        <v>120.1</v>
      </c>
      <c r="AH82">
        <f t="shared" si="14"/>
        <v>118.3</v>
      </c>
      <c r="AI82">
        <f t="shared" si="15"/>
        <v>116.7</v>
      </c>
      <c r="AJ82">
        <f t="shared" si="16"/>
        <v>109.9</v>
      </c>
      <c r="AK82">
        <f t="shared" si="17"/>
        <v>117.35</v>
      </c>
      <c r="AL82">
        <f t="shared" si="18"/>
        <v>115.4</v>
      </c>
      <c r="AM82">
        <f t="shared" si="19"/>
        <v>125.8</v>
      </c>
      <c r="AN82">
        <f t="shared" si="20"/>
        <v>116.95</v>
      </c>
      <c r="AO82">
        <f t="shared" si="21"/>
        <v>118.25</v>
      </c>
    </row>
    <row r="83" spans="1:41" hidden="1" x14ac:dyDescent="0.45">
      <c r="A83" t="s">
        <v>30</v>
      </c>
      <c r="B83">
        <v>2015</v>
      </c>
      <c r="C83" t="s">
        <v>37</v>
      </c>
      <c r="D83" t="s">
        <v>32</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v>121.2</v>
      </c>
      <c r="W83">
        <v>120.9</v>
      </c>
      <c r="X83">
        <v>118.6</v>
      </c>
      <c r="Y83">
        <v>111.9</v>
      </c>
      <c r="Z83">
        <v>116.2</v>
      </c>
      <c r="AA83">
        <v>119.9</v>
      </c>
      <c r="AB83">
        <v>111.6</v>
      </c>
      <c r="AC83">
        <v>116</v>
      </c>
      <c r="AD83">
        <v>121.5</v>
      </c>
      <c r="AE83">
        <f t="shared" si="11"/>
        <v>123.6</v>
      </c>
      <c r="AF83" t="str">
        <f t="shared" si="12"/>
        <v>NA</v>
      </c>
      <c r="AG83">
        <f t="shared" si="13"/>
        <v>119.9</v>
      </c>
      <c r="AH83">
        <f t="shared" si="14"/>
        <v>121.2</v>
      </c>
      <c r="AI83">
        <f t="shared" si="15"/>
        <v>118.6</v>
      </c>
      <c r="AJ83">
        <f t="shared" si="16"/>
        <v>111.9</v>
      </c>
      <c r="AK83">
        <f t="shared" si="17"/>
        <v>118.8</v>
      </c>
      <c r="AL83">
        <f t="shared" si="18"/>
        <v>116.2</v>
      </c>
      <c r="AM83">
        <f t="shared" si="19"/>
        <v>125.7</v>
      </c>
      <c r="AN83">
        <f t="shared" si="20"/>
        <v>118.45</v>
      </c>
      <c r="AO83">
        <f t="shared" si="21"/>
        <v>119.37222222222221</v>
      </c>
    </row>
    <row r="84" spans="1:41" hidden="1" x14ac:dyDescent="0.45">
      <c r="A84" t="s">
        <v>33</v>
      </c>
      <c r="B84">
        <v>2015</v>
      </c>
      <c r="C84" t="s">
        <v>37</v>
      </c>
      <c r="D84">
        <v>119.2</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114.7</v>
      </c>
      <c r="W84">
        <v>118.4</v>
      </c>
      <c r="X84">
        <v>114.6</v>
      </c>
      <c r="Y84">
        <v>108.4</v>
      </c>
      <c r="Z84">
        <v>115.6</v>
      </c>
      <c r="AA84">
        <v>121.7</v>
      </c>
      <c r="AB84">
        <v>111.8</v>
      </c>
      <c r="AC84">
        <v>114.2</v>
      </c>
      <c r="AD84">
        <v>119.7</v>
      </c>
      <c r="AE84">
        <f t="shared" si="11"/>
        <v>124.6</v>
      </c>
      <c r="AF84">
        <f t="shared" si="12"/>
        <v>119.2</v>
      </c>
      <c r="AG84">
        <f t="shared" si="13"/>
        <v>121.7</v>
      </c>
      <c r="AH84">
        <f t="shared" si="14"/>
        <v>114.7</v>
      </c>
      <c r="AI84">
        <f t="shared" si="15"/>
        <v>114.6</v>
      </c>
      <c r="AJ84">
        <f t="shared" si="16"/>
        <v>108.4</v>
      </c>
      <c r="AK84">
        <f t="shared" si="17"/>
        <v>116.55</v>
      </c>
      <c r="AL84">
        <f t="shared" si="18"/>
        <v>115.6</v>
      </c>
      <c r="AM84">
        <f t="shared" si="19"/>
        <v>130.1</v>
      </c>
      <c r="AN84">
        <f t="shared" si="20"/>
        <v>116.30000000000001</v>
      </c>
      <c r="AO84">
        <f t="shared" si="21"/>
        <v>118.17499999999998</v>
      </c>
    </row>
    <row r="85" spans="1:41" hidden="1" x14ac:dyDescent="0.45">
      <c r="A85" t="s">
        <v>34</v>
      </c>
      <c r="B85">
        <v>2015</v>
      </c>
      <c r="C85" t="s">
        <v>37</v>
      </c>
      <c r="D85">
        <v>119.2</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118.7</v>
      </c>
      <c r="W85">
        <v>119.7</v>
      </c>
      <c r="X85">
        <v>117.1</v>
      </c>
      <c r="Y85">
        <v>110.1</v>
      </c>
      <c r="Z85">
        <v>115.9</v>
      </c>
      <c r="AA85">
        <v>121</v>
      </c>
      <c r="AB85">
        <v>111.7</v>
      </c>
      <c r="AC85">
        <v>115.1</v>
      </c>
      <c r="AD85">
        <v>120.7</v>
      </c>
      <c r="AE85">
        <f t="shared" si="11"/>
        <v>124</v>
      </c>
      <c r="AF85">
        <f t="shared" si="12"/>
        <v>119.2</v>
      </c>
      <c r="AG85">
        <f t="shared" si="13"/>
        <v>121</v>
      </c>
      <c r="AH85">
        <f t="shared" si="14"/>
        <v>118.7</v>
      </c>
      <c r="AI85">
        <f t="shared" si="15"/>
        <v>117.1</v>
      </c>
      <c r="AJ85">
        <f t="shared" si="16"/>
        <v>110.1</v>
      </c>
      <c r="AK85">
        <f t="shared" si="17"/>
        <v>117.9</v>
      </c>
      <c r="AL85">
        <f t="shared" si="18"/>
        <v>115.9</v>
      </c>
      <c r="AM85">
        <f t="shared" si="19"/>
        <v>126.9</v>
      </c>
      <c r="AN85">
        <f t="shared" si="20"/>
        <v>117.4</v>
      </c>
      <c r="AO85">
        <f t="shared" si="21"/>
        <v>118.82000000000001</v>
      </c>
    </row>
    <row r="86" spans="1:41" hidden="1" x14ac:dyDescent="0.45">
      <c r="A86" t="s">
        <v>30</v>
      </c>
      <c r="B86">
        <v>2015</v>
      </c>
      <c r="C86" t="s">
        <v>38</v>
      </c>
      <c r="D86" t="s">
        <v>32</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v>121.9</v>
      </c>
      <c r="W86">
        <v>121.5</v>
      </c>
      <c r="X86">
        <v>119.4</v>
      </c>
      <c r="Y86">
        <v>113.3</v>
      </c>
      <c r="Z86">
        <v>116.7</v>
      </c>
      <c r="AA86">
        <v>120.5</v>
      </c>
      <c r="AB86">
        <v>112.3</v>
      </c>
      <c r="AC86">
        <v>116.9</v>
      </c>
      <c r="AD86">
        <v>122.4</v>
      </c>
      <c r="AE86">
        <f t="shared" si="11"/>
        <v>124.4</v>
      </c>
      <c r="AF86" t="str">
        <f t="shared" si="12"/>
        <v>NA</v>
      </c>
      <c r="AG86">
        <f t="shared" si="13"/>
        <v>120.5</v>
      </c>
      <c r="AH86">
        <f t="shared" si="14"/>
        <v>121.9</v>
      </c>
      <c r="AI86">
        <f t="shared" si="15"/>
        <v>119.4</v>
      </c>
      <c r="AJ86">
        <f t="shared" si="16"/>
        <v>113.3</v>
      </c>
      <c r="AK86">
        <f t="shared" si="17"/>
        <v>119.55</v>
      </c>
      <c r="AL86">
        <f t="shared" si="18"/>
        <v>116.7</v>
      </c>
      <c r="AM86">
        <f t="shared" si="19"/>
        <v>126.7</v>
      </c>
      <c r="AN86">
        <f t="shared" si="20"/>
        <v>119.2</v>
      </c>
      <c r="AO86">
        <f t="shared" si="21"/>
        <v>120.18333333333334</v>
      </c>
    </row>
    <row r="87" spans="1:41" hidden="1" x14ac:dyDescent="0.45">
      <c r="A87" t="s">
        <v>33</v>
      </c>
      <c r="B87">
        <v>2015</v>
      </c>
      <c r="C87" t="s">
        <v>38</v>
      </c>
      <c r="D87">
        <v>119.6</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114.9</v>
      </c>
      <c r="W87">
        <v>118.7</v>
      </c>
      <c r="X87">
        <v>114.9</v>
      </c>
      <c r="Y87">
        <v>110.8</v>
      </c>
      <c r="Z87">
        <v>116</v>
      </c>
      <c r="AA87">
        <v>122</v>
      </c>
      <c r="AB87">
        <v>112.4</v>
      </c>
      <c r="AC87">
        <v>115.2</v>
      </c>
      <c r="AD87">
        <v>120.7</v>
      </c>
      <c r="AE87">
        <f t="shared" si="11"/>
        <v>126.1</v>
      </c>
      <c r="AF87">
        <f t="shared" si="12"/>
        <v>119.6</v>
      </c>
      <c r="AG87">
        <f t="shared" si="13"/>
        <v>122</v>
      </c>
      <c r="AH87">
        <f t="shared" si="14"/>
        <v>114.9</v>
      </c>
      <c r="AI87">
        <f t="shared" si="15"/>
        <v>114.9</v>
      </c>
      <c r="AJ87">
        <f t="shared" si="16"/>
        <v>110.8</v>
      </c>
      <c r="AK87">
        <f t="shared" si="17"/>
        <v>117</v>
      </c>
      <c r="AL87">
        <f t="shared" si="18"/>
        <v>116</v>
      </c>
      <c r="AM87">
        <f t="shared" si="19"/>
        <v>131.30000000000001</v>
      </c>
      <c r="AN87">
        <f t="shared" si="20"/>
        <v>116.95</v>
      </c>
      <c r="AO87">
        <f t="shared" si="21"/>
        <v>118.955</v>
      </c>
    </row>
    <row r="88" spans="1:41" hidden="1" x14ac:dyDescent="0.45">
      <c r="A88" t="s">
        <v>34</v>
      </c>
      <c r="B88">
        <v>2015</v>
      </c>
      <c r="C88" t="s">
        <v>38</v>
      </c>
      <c r="D88">
        <v>119.6</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119.2</v>
      </c>
      <c r="W88">
        <v>120.2</v>
      </c>
      <c r="X88">
        <v>117.7</v>
      </c>
      <c r="Y88">
        <v>112</v>
      </c>
      <c r="Z88">
        <v>116.3</v>
      </c>
      <c r="AA88">
        <v>121.4</v>
      </c>
      <c r="AB88">
        <v>112.3</v>
      </c>
      <c r="AC88">
        <v>116.1</v>
      </c>
      <c r="AD88">
        <v>121.6</v>
      </c>
      <c r="AE88">
        <f t="shared" si="11"/>
        <v>125</v>
      </c>
      <c r="AF88">
        <f t="shared" si="12"/>
        <v>119.6</v>
      </c>
      <c r="AG88">
        <f t="shared" si="13"/>
        <v>121.4</v>
      </c>
      <c r="AH88">
        <f t="shared" si="14"/>
        <v>119.2</v>
      </c>
      <c r="AI88">
        <f t="shared" si="15"/>
        <v>117.7</v>
      </c>
      <c r="AJ88">
        <f t="shared" si="16"/>
        <v>112</v>
      </c>
      <c r="AK88">
        <f t="shared" si="17"/>
        <v>118.5</v>
      </c>
      <c r="AL88">
        <f t="shared" si="18"/>
        <v>116.3</v>
      </c>
      <c r="AM88">
        <f t="shared" si="19"/>
        <v>127.9</v>
      </c>
      <c r="AN88">
        <f t="shared" si="20"/>
        <v>118.15</v>
      </c>
      <c r="AO88">
        <f t="shared" si="21"/>
        <v>119.575</v>
      </c>
    </row>
    <row r="89" spans="1:41" hidden="1" x14ac:dyDescent="0.45">
      <c r="A89" t="s">
        <v>30</v>
      </c>
      <c r="B89">
        <v>2015</v>
      </c>
      <c r="C89" t="s">
        <v>39</v>
      </c>
      <c r="D89" t="s">
        <v>32</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v>122.6</v>
      </c>
      <c r="W89">
        <v>122.8</v>
      </c>
      <c r="X89">
        <v>120.4</v>
      </c>
      <c r="Y89">
        <v>114.2</v>
      </c>
      <c r="Z89">
        <v>117.9</v>
      </c>
      <c r="AA89">
        <v>122</v>
      </c>
      <c r="AB89">
        <v>113</v>
      </c>
      <c r="AC89">
        <v>117.9</v>
      </c>
      <c r="AD89">
        <v>124.1</v>
      </c>
      <c r="AE89">
        <f t="shared" si="11"/>
        <v>126.6</v>
      </c>
      <c r="AF89" t="str">
        <f t="shared" si="12"/>
        <v>NA</v>
      </c>
      <c r="AG89">
        <f t="shared" si="13"/>
        <v>122</v>
      </c>
      <c r="AH89">
        <f t="shared" si="14"/>
        <v>122.6</v>
      </c>
      <c r="AI89">
        <f t="shared" si="15"/>
        <v>120.4</v>
      </c>
      <c r="AJ89">
        <f t="shared" si="16"/>
        <v>114.2</v>
      </c>
      <c r="AK89">
        <f t="shared" si="17"/>
        <v>120.5</v>
      </c>
      <c r="AL89">
        <f t="shared" si="18"/>
        <v>117.9</v>
      </c>
      <c r="AM89">
        <f t="shared" si="19"/>
        <v>128.19999999999999</v>
      </c>
      <c r="AN89">
        <f t="shared" si="20"/>
        <v>120.35</v>
      </c>
      <c r="AO89">
        <f t="shared" si="21"/>
        <v>121.41666666666667</v>
      </c>
    </row>
    <row r="90" spans="1:41" hidden="1" x14ac:dyDescent="0.45">
      <c r="A90" t="s">
        <v>33</v>
      </c>
      <c r="B90">
        <v>2015</v>
      </c>
      <c r="C90" t="s">
        <v>39</v>
      </c>
      <c r="D90">
        <v>119</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115.1</v>
      </c>
      <c r="W90">
        <v>119.2</v>
      </c>
      <c r="X90">
        <v>115.4</v>
      </c>
      <c r="Y90">
        <v>111.7</v>
      </c>
      <c r="Z90">
        <v>116.2</v>
      </c>
      <c r="AA90">
        <v>123.8</v>
      </c>
      <c r="AB90">
        <v>112.5</v>
      </c>
      <c r="AC90">
        <v>116</v>
      </c>
      <c r="AD90">
        <v>121.7</v>
      </c>
      <c r="AE90">
        <f t="shared" si="11"/>
        <v>128.5</v>
      </c>
      <c r="AF90">
        <f t="shared" si="12"/>
        <v>119</v>
      </c>
      <c r="AG90">
        <f t="shared" si="13"/>
        <v>123.8</v>
      </c>
      <c r="AH90">
        <f t="shared" si="14"/>
        <v>115.1</v>
      </c>
      <c r="AI90">
        <f t="shared" si="15"/>
        <v>115.4</v>
      </c>
      <c r="AJ90">
        <f t="shared" si="16"/>
        <v>111.7</v>
      </c>
      <c r="AK90">
        <f t="shared" si="17"/>
        <v>117.4</v>
      </c>
      <c r="AL90">
        <f t="shared" si="18"/>
        <v>116.2</v>
      </c>
      <c r="AM90">
        <f t="shared" si="19"/>
        <v>132.1</v>
      </c>
      <c r="AN90">
        <f t="shared" si="20"/>
        <v>117.6</v>
      </c>
      <c r="AO90">
        <f t="shared" si="21"/>
        <v>119.67999999999999</v>
      </c>
    </row>
    <row r="91" spans="1:41" hidden="1" x14ac:dyDescent="0.45">
      <c r="A91" t="s">
        <v>34</v>
      </c>
      <c r="B91">
        <v>2015</v>
      </c>
      <c r="C91" t="s">
        <v>39</v>
      </c>
      <c r="D91">
        <v>119</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119.8</v>
      </c>
      <c r="W91">
        <v>121.1</v>
      </c>
      <c r="X91">
        <v>118.5</v>
      </c>
      <c r="Y91">
        <v>112.9</v>
      </c>
      <c r="Z91">
        <v>116.9</v>
      </c>
      <c r="AA91">
        <v>123.1</v>
      </c>
      <c r="AB91">
        <v>112.8</v>
      </c>
      <c r="AC91">
        <v>117</v>
      </c>
      <c r="AD91">
        <v>123</v>
      </c>
      <c r="AE91">
        <f t="shared" si="11"/>
        <v>127.3</v>
      </c>
      <c r="AF91">
        <f t="shared" si="12"/>
        <v>119</v>
      </c>
      <c r="AG91">
        <f t="shared" si="13"/>
        <v>123.1</v>
      </c>
      <c r="AH91">
        <f t="shared" si="14"/>
        <v>119.8</v>
      </c>
      <c r="AI91">
        <f t="shared" si="15"/>
        <v>118.5</v>
      </c>
      <c r="AJ91">
        <f t="shared" si="16"/>
        <v>112.9</v>
      </c>
      <c r="AK91">
        <f t="shared" si="17"/>
        <v>119.25</v>
      </c>
      <c r="AL91">
        <f t="shared" si="18"/>
        <v>116.9</v>
      </c>
      <c r="AM91">
        <f t="shared" si="19"/>
        <v>129.19999999999999</v>
      </c>
      <c r="AN91">
        <f t="shared" si="20"/>
        <v>119.05</v>
      </c>
      <c r="AO91">
        <f t="shared" si="21"/>
        <v>120.5</v>
      </c>
    </row>
    <row r="92" spans="1:41" hidden="1" x14ac:dyDescent="0.45">
      <c r="A92" t="s">
        <v>30</v>
      </c>
      <c r="B92">
        <v>2015</v>
      </c>
      <c r="C92" t="s">
        <v>40</v>
      </c>
      <c r="D92" t="s">
        <v>32</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v>123</v>
      </c>
      <c r="W92">
        <v>123</v>
      </c>
      <c r="X92">
        <v>120.8</v>
      </c>
      <c r="Y92">
        <v>114.1</v>
      </c>
      <c r="Z92">
        <v>118</v>
      </c>
      <c r="AA92">
        <v>122.9</v>
      </c>
      <c r="AB92">
        <v>112.7</v>
      </c>
      <c r="AC92">
        <v>118.1</v>
      </c>
      <c r="AD92">
        <v>124.7</v>
      </c>
      <c r="AE92">
        <f t="shared" si="11"/>
        <v>127.5</v>
      </c>
      <c r="AF92" t="str">
        <f t="shared" si="12"/>
        <v>NA</v>
      </c>
      <c r="AG92">
        <f t="shared" si="13"/>
        <v>122.9</v>
      </c>
      <c r="AH92">
        <f t="shared" si="14"/>
        <v>123</v>
      </c>
      <c r="AI92">
        <f t="shared" si="15"/>
        <v>120.8</v>
      </c>
      <c r="AJ92">
        <f t="shared" si="16"/>
        <v>114.1</v>
      </c>
      <c r="AK92">
        <f t="shared" si="17"/>
        <v>120.5</v>
      </c>
      <c r="AL92">
        <f t="shared" si="18"/>
        <v>118</v>
      </c>
      <c r="AM92">
        <f t="shared" si="19"/>
        <v>129.4</v>
      </c>
      <c r="AN92">
        <f t="shared" si="20"/>
        <v>120.55</v>
      </c>
      <c r="AO92">
        <f t="shared" si="21"/>
        <v>121.86111111111111</v>
      </c>
    </row>
    <row r="93" spans="1:41" hidden="1" x14ac:dyDescent="0.45">
      <c r="A93" t="s">
        <v>33</v>
      </c>
      <c r="B93">
        <v>2015</v>
      </c>
      <c r="C93" t="s">
        <v>40</v>
      </c>
      <c r="D93">
        <v>119.9</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115.3</v>
      </c>
      <c r="W93">
        <v>119.5</v>
      </c>
      <c r="X93">
        <v>116</v>
      </c>
      <c r="Y93">
        <v>111.5</v>
      </c>
      <c r="Z93">
        <v>116.6</v>
      </c>
      <c r="AA93">
        <v>125.4</v>
      </c>
      <c r="AB93">
        <v>111.7</v>
      </c>
      <c r="AC93">
        <v>116.3</v>
      </c>
      <c r="AD93">
        <v>122.4</v>
      </c>
      <c r="AE93">
        <f t="shared" si="11"/>
        <v>129.5</v>
      </c>
      <c r="AF93">
        <f t="shared" si="12"/>
        <v>119.9</v>
      </c>
      <c r="AG93">
        <f t="shared" si="13"/>
        <v>125.4</v>
      </c>
      <c r="AH93">
        <f t="shared" si="14"/>
        <v>115.3</v>
      </c>
      <c r="AI93">
        <f t="shared" si="15"/>
        <v>116</v>
      </c>
      <c r="AJ93">
        <f t="shared" si="16"/>
        <v>111.5</v>
      </c>
      <c r="AK93">
        <f t="shared" si="17"/>
        <v>117.2</v>
      </c>
      <c r="AL93">
        <f t="shared" si="18"/>
        <v>116.6</v>
      </c>
      <c r="AM93">
        <f t="shared" si="19"/>
        <v>133.1</v>
      </c>
      <c r="AN93">
        <f t="shared" si="20"/>
        <v>117.9</v>
      </c>
      <c r="AO93">
        <f t="shared" si="21"/>
        <v>120.24000000000001</v>
      </c>
    </row>
    <row r="94" spans="1:41" hidden="1" x14ac:dyDescent="0.45">
      <c r="A94" t="s">
        <v>34</v>
      </c>
      <c r="B94">
        <v>2015</v>
      </c>
      <c r="C94" t="s">
        <v>40</v>
      </c>
      <c r="D94">
        <v>119.9</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120.1</v>
      </c>
      <c r="W94">
        <v>121.3</v>
      </c>
      <c r="X94">
        <v>119</v>
      </c>
      <c r="Y94">
        <v>112.7</v>
      </c>
      <c r="Z94">
        <v>117.2</v>
      </c>
      <c r="AA94">
        <v>124.4</v>
      </c>
      <c r="AB94">
        <v>112.3</v>
      </c>
      <c r="AC94">
        <v>117.2</v>
      </c>
      <c r="AD94">
        <v>123.6</v>
      </c>
      <c r="AE94">
        <f t="shared" si="11"/>
        <v>128.19999999999999</v>
      </c>
      <c r="AF94">
        <f t="shared" si="12"/>
        <v>119.9</v>
      </c>
      <c r="AG94">
        <f t="shared" si="13"/>
        <v>124.4</v>
      </c>
      <c r="AH94">
        <f t="shared" si="14"/>
        <v>120.1</v>
      </c>
      <c r="AI94">
        <f t="shared" si="15"/>
        <v>119</v>
      </c>
      <c r="AJ94">
        <f t="shared" si="16"/>
        <v>112.7</v>
      </c>
      <c r="AK94">
        <f t="shared" si="17"/>
        <v>119.19999999999999</v>
      </c>
      <c r="AL94">
        <f t="shared" si="18"/>
        <v>117.2</v>
      </c>
      <c r="AM94">
        <f t="shared" si="19"/>
        <v>130.4</v>
      </c>
      <c r="AN94">
        <f t="shared" si="20"/>
        <v>119.25</v>
      </c>
      <c r="AO94">
        <f t="shared" si="21"/>
        <v>121.03500000000001</v>
      </c>
    </row>
    <row r="95" spans="1:41" hidden="1" x14ac:dyDescent="0.45">
      <c r="A95" t="s">
        <v>30</v>
      </c>
      <c r="B95">
        <v>2015</v>
      </c>
      <c r="C95" t="s">
        <v>41</v>
      </c>
      <c r="D95" t="s">
        <v>32</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v>123.8</v>
      </c>
      <c r="W95">
        <v>123.7</v>
      </c>
      <c r="X95">
        <v>121.1</v>
      </c>
      <c r="Y95">
        <v>113.6</v>
      </c>
      <c r="Z95">
        <v>118.5</v>
      </c>
      <c r="AA95">
        <v>123.6</v>
      </c>
      <c r="AB95">
        <v>112.5</v>
      </c>
      <c r="AC95">
        <v>118.2</v>
      </c>
      <c r="AD95">
        <v>126.1</v>
      </c>
      <c r="AE95">
        <f t="shared" si="11"/>
        <v>129.80000000000001</v>
      </c>
      <c r="AF95" t="str">
        <f t="shared" si="12"/>
        <v>NA</v>
      </c>
      <c r="AG95">
        <f t="shared" si="13"/>
        <v>123.6</v>
      </c>
      <c r="AH95">
        <f t="shared" si="14"/>
        <v>123.8</v>
      </c>
      <c r="AI95">
        <f t="shared" si="15"/>
        <v>121.1</v>
      </c>
      <c r="AJ95">
        <f t="shared" si="16"/>
        <v>113.6</v>
      </c>
      <c r="AK95">
        <f t="shared" si="17"/>
        <v>120.75</v>
      </c>
      <c r="AL95">
        <f t="shared" si="18"/>
        <v>118.5</v>
      </c>
      <c r="AM95">
        <f t="shared" si="19"/>
        <v>130.1</v>
      </c>
      <c r="AN95">
        <f t="shared" si="20"/>
        <v>120.95</v>
      </c>
      <c r="AO95">
        <f t="shared" si="21"/>
        <v>122.46666666666667</v>
      </c>
    </row>
    <row r="96" spans="1:41" hidden="1" x14ac:dyDescent="0.45">
      <c r="A96" t="s">
        <v>33</v>
      </c>
      <c r="B96">
        <v>2015</v>
      </c>
      <c r="C96" t="s">
        <v>41</v>
      </c>
      <c r="D96">
        <v>120.9</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115.3</v>
      </c>
      <c r="W96">
        <v>120</v>
      </c>
      <c r="X96">
        <v>116.6</v>
      </c>
      <c r="Y96">
        <v>109.9</v>
      </c>
      <c r="Z96">
        <v>117.2</v>
      </c>
      <c r="AA96">
        <v>126.2</v>
      </c>
      <c r="AB96">
        <v>112</v>
      </c>
      <c r="AC96">
        <v>116.2</v>
      </c>
      <c r="AD96">
        <v>123.2</v>
      </c>
      <c r="AE96">
        <f t="shared" si="11"/>
        <v>131.1</v>
      </c>
      <c r="AF96">
        <f t="shared" si="12"/>
        <v>120.9</v>
      </c>
      <c r="AG96">
        <f t="shared" si="13"/>
        <v>126.2</v>
      </c>
      <c r="AH96">
        <f t="shared" si="14"/>
        <v>115.3</v>
      </c>
      <c r="AI96">
        <f t="shared" si="15"/>
        <v>116.6</v>
      </c>
      <c r="AJ96">
        <f t="shared" si="16"/>
        <v>109.9</v>
      </c>
      <c r="AK96">
        <f t="shared" si="17"/>
        <v>117.45</v>
      </c>
      <c r="AL96">
        <f t="shared" si="18"/>
        <v>117.2</v>
      </c>
      <c r="AM96">
        <f t="shared" si="19"/>
        <v>134.19999999999999</v>
      </c>
      <c r="AN96">
        <f t="shared" si="20"/>
        <v>118.1</v>
      </c>
      <c r="AO96">
        <f t="shared" si="21"/>
        <v>120.69500000000001</v>
      </c>
    </row>
    <row r="97" spans="1:41" hidden="1" x14ac:dyDescent="0.45">
      <c r="A97" t="s">
        <v>34</v>
      </c>
      <c r="B97">
        <v>2015</v>
      </c>
      <c r="C97" t="s">
        <v>41</v>
      </c>
      <c r="D97">
        <v>120.9</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120.6</v>
      </c>
      <c r="W97">
        <v>122</v>
      </c>
      <c r="X97">
        <v>119.4</v>
      </c>
      <c r="Y97">
        <v>111.7</v>
      </c>
      <c r="Z97">
        <v>117.8</v>
      </c>
      <c r="AA97">
        <v>125.1</v>
      </c>
      <c r="AB97">
        <v>112.3</v>
      </c>
      <c r="AC97">
        <v>117.2</v>
      </c>
      <c r="AD97">
        <v>124.8</v>
      </c>
      <c r="AE97">
        <f t="shared" si="11"/>
        <v>130.30000000000001</v>
      </c>
      <c r="AF97">
        <f t="shared" si="12"/>
        <v>120.9</v>
      </c>
      <c r="AG97">
        <f t="shared" si="13"/>
        <v>125.1</v>
      </c>
      <c r="AH97">
        <f t="shared" si="14"/>
        <v>120.6</v>
      </c>
      <c r="AI97">
        <f t="shared" si="15"/>
        <v>119.4</v>
      </c>
      <c r="AJ97">
        <f t="shared" si="16"/>
        <v>111.7</v>
      </c>
      <c r="AK97">
        <f t="shared" si="17"/>
        <v>119.44999999999999</v>
      </c>
      <c r="AL97">
        <f t="shared" si="18"/>
        <v>117.8</v>
      </c>
      <c r="AM97">
        <f t="shared" si="19"/>
        <v>131.19999999999999</v>
      </c>
      <c r="AN97">
        <f t="shared" si="20"/>
        <v>119.6</v>
      </c>
      <c r="AO97">
        <f t="shared" si="21"/>
        <v>121.60499999999999</v>
      </c>
    </row>
    <row r="98" spans="1:41" hidden="1" x14ac:dyDescent="0.45">
      <c r="A98" t="s">
        <v>30</v>
      </c>
      <c r="B98">
        <v>2015</v>
      </c>
      <c r="C98" t="s">
        <v>42</v>
      </c>
      <c r="D98" t="s">
        <v>32</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v>123.7</v>
      </c>
      <c r="W98">
        <v>124.5</v>
      </c>
      <c r="X98">
        <v>121.4</v>
      </c>
      <c r="Y98">
        <v>113.8</v>
      </c>
      <c r="Z98">
        <v>119.6</v>
      </c>
      <c r="AA98">
        <v>124.5</v>
      </c>
      <c r="AB98">
        <v>113.7</v>
      </c>
      <c r="AC98">
        <v>118.8</v>
      </c>
      <c r="AD98">
        <v>127</v>
      </c>
      <c r="AE98">
        <f t="shared" si="11"/>
        <v>131</v>
      </c>
      <c r="AF98" t="str">
        <f t="shared" si="12"/>
        <v>NA</v>
      </c>
      <c r="AG98">
        <f t="shared" si="13"/>
        <v>124.5</v>
      </c>
      <c r="AH98">
        <f t="shared" si="14"/>
        <v>123.7</v>
      </c>
      <c r="AI98">
        <f t="shared" si="15"/>
        <v>121.4</v>
      </c>
      <c r="AJ98">
        <f t="shared" si="16"/>
        <v>113.8</v>
      </c>
      <c r="AK98">
        <f t="shared" si="17"/>
        <v>121.80000000000001</v>
      </c>
      <c r="AL98">
        <f t="shared" si="18"/>
        <v>119.6</v>
      </c>
      <c r="AM98">
        <f t="shared" si="19"/>
        <v>131</v>
      </c>
      <c r="AN98">
        <f t="shared" si="20"/>
        <v>121.65</v>
      </c>
      <c r="AO98">
        <f t="shared" si="21"/>
        <v>123.16111111111111</v>
      </c>
    </row>
    <row r="99" spans="1:41" hidden="1" x14ac:dyDescent="0.45">
      <c r="A99" t="s">
        <v>33</v>
      </c>
      <c r="B99">
        <v>2015</v>
      </c>
      <c r="C99" t="s">
        <v>42</v>
      </c>
      <c r="D99">
        <v>121.6</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115.1</v>
      </c>
      <c r="W99">
        <v>120.4</v>
      </c>
      <c r="X99">
        <v>117.1</v>
      </c>
      <c r="Y99">
        <v>109.1</v>
      </c>
      <c r="Z99">
        <v>117.3</v>
      </c>
      <c r="AA99">
        <v>126.5</v>
      </c>
      <c r="AB99">
        <v>112.9</v>
      </c>
      <c r="AC99">
        <v>116.2</v>
      </c>
      <c r="AD99">
        <v>123.5</v>
      </c>
      <c r="AE99">
        <f t="shared" si="11"/>
        <v>131.5</v>
      </c>
      <c r="AF99">
        <f t="shared" si="12"/>
        <v>121.6</v>
      </c>
      <c r="AG99">
        <f t="shared" si="13"/>
        <v>126.5</v>
      </c>
      <c r="AH99">
        <f t="shared" si="14"/>
        <v>115.1</v>
      </c>
      <c r="AI99">
        <f t="shared" si="15"/>
        <v>117.1</v>
      </c>
      <c r="AJ99">
        <f t="shared" si="16"/>
        <v>109.1</v>
      </c>
      <c r="AK99">
        <f t="shared" si="17"/>
        <v>118.05000000000001</v>
      </c>
      <c r="AL99">
        <f t="shared" si="18"/>
        <v>117.3</v>
      </c>
      <c r="AM99">
        <f t="shared" si="19"/>
        <v>134.69999999999999</v>
      </c>
      <c r="AN99">
        <f t="shared" si="20"/>
        <v>118.30000000000001</v>
      </c>
      <c r="AO99">
        <f t="shared" si="21"/>
        <v>120.925</v>
      </c>
    </row>
    <row r="100" spans="1:41" hidden="1" x14ac:dyDescent="0.45">
      <c r="A100" t="s">
        <v>34</v>
      </c>
      <c r="B100">
        <v>2015</v>
      </c>
      <c r="C100" t="s">
        <v>42</v>
      </c>
      <c r="D100">
        <v>121.6</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120.4</v>
      </c>
      <c r="W100">
        <v>122.6</v>
      </c>
      <c r="X100">
        <v>119.8</v>
      </c>
      <c r="Y100">
        <v>111.3</v>
      </c>
      <c r="Z100">
        <v>118.3</v>
      </c>
      <c r="AA100">
        <v>125.7</v>
      </c>
      <c r="AB100">
        <v>113.4</v>
      </c>
      <c r="AC100">
        <v>117.5</v>
      </c>
      <c r="AD100">
        <v>125.4</v>
      </c>
      <c r="AE100">
        <f t="shared" si="11"/>
        <v>131.19999999999999</v>
      </c>
      <c r="AF100">
        <f t="shared" si="12"/>
        <v>121.6</v>
      </c>
      <c r="AG100">
        <f t="shared" si="13"/>
        <v>125.7</v>
      </c>
      <c r="AH100">
        <f t="shared" si="14"/>
        <v>120.4</v>
      </c>
      <c r="AI100">
        <f t="shared" si="15"/>
        <v>119.8</v>
      </c>
      <c r="AJ100">
        <f t="shared" si="16"/>
        <v>111.3</v>
      </c>
      <c r="AK100">
        <f t="shared" si="17"/>
        <v>120.30000000000001</v>
      </c>
      <c r="AL100">
        <f t="shared" si="18"/>
        <v>118.3</v>
      </c>
      <c r="AM100">
        <f t="shared" si="19"/>
        <v>132</v>
      </c>
      <c r="AN100">
        <f t="shared" si="20"/>
        <v>120.05</v>
      </c>
      <c r="AO100">
        <f t="shared" si="21"/>
        <v>122.06499999999998</v>
      </c>
    </row>
    <row r="101" spans="1:41" hidden="1" x14ac:dyDescent="0.45">
      <c r="A101" t="s">
        <v>30</v>
      </c>
      <c r="B101">
        <v>2015</v>
      </c>
      <c r="C101" t="s">
        <v>43</v>
      </c>
      <c r="D101" t="s">
        <v>32</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v>124.4</v>
      </c>
      <c r="W101">
        <v>125.1</v>
      </c>
      <c r="X101">
        <v>122</v>
      </c>
      <c r="Y101">
        <v>113.8</v>
      </c>
      <c r="Z101">
        <v>120.1</v>
      </c>
      <c r="AA101">
        <v>125.1</v>
      </c>
      <c r="AB101">
        <v>114.2</v>
      </c>
      <c r="AC101">
        <v>119.2</v>
      </c>
      <c r="AD101">
        <v>127.7</v>
      </c>
      <c r="AE101">
        <f t="shared" si="11"/>
        <v>131.80000000000001</v>
      </c>
      <c r="AF101" t="str">
        <f t="shared" si="12"/>
        <v>NA</v>
      </c>
      <c r="AG101">
        <f t="shared" si="13"/>
        <v>125.1</v>
      </c>
      <c r="AH101">
        <f t="shared" si="14"/>
        <v>124.4</v>
      </c>
      <c r="AI101">
        <f t="shared" si="15"/>
        <v>122</v>
      </c>
      <c r="AJ101">
        <f t="shared" si="16"/>
        <v>113.8</v>
      </c>
      <c r="AK101">
        <f t="shared" si="17"/>
        <v>122.4</v>
      </c>
      <c r="AL101">
        <f t="shared" si="18"/>
        <v>120.1</v>
      </c>
      <c r="AM101">
        <f t="shared" si="19"/>
        <v>131.5</v>
      </c>
      <c r="AN101">
        <f t="shared" si="20"/>
        <v>122.15</v>
      </c>
      <c r="AO101">
        <f t="shared" si="21"/>
        <v>123.69444444444444</v>
      </c>
    </row>
    <row r="102" spans="1:41" hidden="1" x14ac:dyDescent="0.45">
      <c r="A102" t="s">
        <v>33</v>
      </c>
      <c r="B102">
        <v>2015</v>
      </c>
      <c r="C102" t="s">
        <v>43</v>
      </c>
      <c r="D102">
        <v>122.4</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114.9</v>
      </c>
      <c r="W102">
        <v>120.7</v>
      </c>
      <c r="X102">
        <v>117.7</v>
      </c>
      <c r="Y102">
        <v>109.3</v>
      </c>
      <c r="Z102">
        <v>117.7</v>
      </c>
      <c r="AA102">
        <v>126.5</v>
      </c>
      <c r="AB102">
        <v>113.5</v>
      </c>
      <c r="AC102">
        <v>116.5</v>
      </c>
      <c r="AD102">
        <v>124.2</v>
      </c>
      <c r="AE102">
        <f t="shared" si="11"/>
        <v>132.6</v>
      </c>
      <c r="AF102">
        <f t="shared" si="12"/>
        <v>122.4</v>
      </c>
      <c r="AG102">
        <f t="shared" si="13"/>
        <v>126.5</v>
      </c>
      <c r="AH102">
        <f t="shared" si="14"/>
        <v>114.9</v>
      </c>
      <c r="AI102">
        <f t="shared" si="15"/>
        <v>117.7</v>
      </c>
      <c r="AJ102">
        <f t="shared" si="16"/>
        <v>109.3</v>
      </c>
      <c r="AK102">
        <f t="shared" si="17"/>
        <v>118.55</v>
      </c>
      <c r="AL102">
        <f t="shared" si="18"/>
        <v>117.7</v>
      </c>
      <c r="AM102">
        <f t="shared" si="19"/>
        <v>135.30000000000001</v>
      </c>
      <c r="AN102">
        <f t="shared" si="20"/>
        <v>118.6</v>
      </c>
      <c r="AO102">
        <f t="shared" si="21"/>
        <v>121.35499999999999</v>
      </c>
    </row>
    <row r="103" spans="1:41" hidden="1" x14ac:dyDescent="0.45">
      <c r="A103" t="s">
        <v>34</v>
      </c>
      <c r="B103">
        <v>2015</v>
      </c>
      <c r="C103" t="s">
        <v>43</v>
      </c>
      <c r="D103">
        <v>122.4</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120.8</v>
      </c>
      <c r="W103">
        <v>123</v>
      </c>
      <c r="X103">
        <v>120.4</v>
      </c>
      <c r="Y103">
        <v>111.4</v>
      </c>
      <c r="Z103">
        <v>118.7</v>
      </c>
      <c r="AA103">
        <v>125.9</v>
      </c>
      <c r="AB103">
        <v>113.9</v>
      </c>
      <c r="AC103">
        <v>117.9</v>
      </c>
      <c r="AD103">
        <v>126.1</v>
      </c>
      <c r="AE103">
        <f t="shared" si="11"/>
        <v>132.1</v>
      </c>
      <c r="AF103">
        <f t="shared" si="12"/>
        <v>122.4</v>
      </c>
      <c r="AG103">
        <f t="shared" si="13"/>
        <v>125.9</v>
      </c>
      <c r="AH103">
        <f t="shared" si="14"/>
        <v>120.8</v>
      </c>
      <c r="AI103">
        <f t="shared" si="15"/>
        <v>120.4</v>
      </c>
      <c r="AJ103">
        <f t="shared" si="16"/>
        <v>111.4</v>
      </c>
      <c r="AK103">
        <f t="shared" si="17"/>
        <v>120.85</v>
      </c>
      <c r="AL103">
        <f t="shared" si="18"/>
        <v>118.7</v>
      </c>
      <c r="AM103">
        <f t="shared" si="19"/>
        <v>132.5</v>
      </c>
      <c r="AN103">
        <f t="shared" si="20"/>
        <v>120.45</v>
      </c>
      <c r="AO103">
        <f t="shared" si="21"/>
        <v>122.55000000000003</v>
      </c>
    </row>
    <row r="104" spans="1:41" hidden="1" x14ac:dyDescent="0.45">
      <c r="A104" t="s">
        <v>30</v>
      </c>
      <c r="B104">
        <v>2015</v>
      </c>
      <c r="C104" t="s">
        <v>45</v>
      </c>
      <c r="D104" t="s">
        <v>32</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v>125.6</v>
      </c>
      <c r="W104">
        <v>125.6</v>
      </c>
      <c r="X104">
        <v>122.6</v>
      </c>
      <c r="Y104">
        <v>114</v>
      </c>
      <c r="Z104">
        <v>120.9</v>
      </c>
      <c r="AA104">
        <v>125.8</v>
      </c>
      <c r="AB104">
        <v>114.2</v>
      </c>
      <c r="AC104">
        <v>119.6</v>
      </c>
      <c r="AD104">
        <v>128.30000000000001</v>
      </c>
      <c r="AE104">
        <f t="shared" si="11"/>
        <v>132.4</v>
      </c>
      <c r="AF104" t="str">
        <f t="shared" si="12"/>
        <v>NA</v>
      </c>
      <c r="AG104">
        <f t="shared" si="13"/>
        <v>125.8</v>
      </c>
      <c r="AH104">
        <f t="shared" si="14"/>
        <v>125.6</v>
      </c>
      <c r="AI104">
        <f t="shared" si="15"/>
        <v>122.6</v>
      </c>
      <c r="AJ104">
        <f t="shared" si="16"/>
        <v>114</v>
      </c>
      <c r="AK104">
        <f t="shared" si="17"/>
        <v>122.85</v>
      </c>
      <c r="AL104">
        <f t="shared" si="18"/>
        <v>120.9</v>
      </c>
      <c r="AM104">
        <f t="shared" si="19"/>
        <v>132.19999999999999</v>
      </c>
      <c r="AN104">
        <f t="shared" si="20"/>
        <v>122.6</v>
      </c>
      <c r="AO104">
        <f t="shared" si="21"/>
        <v>124.32777777777775</v>
      </c>
    </row>
    <row r="105" spans="1:41" hidden="1" x14ac:dyDescent="0.45">
      <c r="A105" t="s">
        <v>33</v>
      </c>
      <c r="B105">
        <v>2015</v>
      </c>
      <c r="C105" t="s">
        <v>45</v>
      </c>
      <c r="D105">
        <v>122.9</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115.1</v>
      </c>
      <c r="W105">
        <v>121</v>
      </c>
      <c r="X105">
        <v>118.1</v>
      </c>
      <c r="Y105">
        <v>109.3</v>
      </c>
      <c r="Z105">
        <v>117.9</v>
      </c>
      <c r="AA105">
        <v>126.6</v>
      </c>
      <c r="AB105">
        <v>113.3</v>
      </c>
      <c r="AC105">
        <v>116.6</v>
      </c>
      <c r="AD105">
        <v>124.6</v>
      </c>
      <c r="AE105">
        <f t="shared" si="11"/>
        <v>133.30000000000001</v>
      </c>
      <c r="AF105">
        <f t="shared" si="12"/>
        <v>122.9</v>
      </c>
      <c r="AG105">
        <f t="shared" si="13"/>
        <v>126.6</v>
      </c>
      <c r="AH105">
        <f t="shared" si="14"/>
        <v>115.1</v>
      </c>
      <c r="AI105">
        <f t="shared" si="15"/>
        <v>118.1</v>
      </c>
      <c r="AJ105">
        <f t="shared" si="16"/>
        <v>109.3</v>
      </c>
      <c r="AK105">
        <f t="shared" si="17"/>
        <v>118.75</v>
      </c>
      <c r="AL105">
        <f t="shared" si="18"/>
        <v>117.9</v>
      </c>
      <c r="AM105">
        <f t="shared" si="19"/>
        <v>137.6</v>
      </c>
      <c r="AN105">
        <f t="shared" si="20"/>
        <v>118.8</v>
      </c>
      <c r="AO105">
        <f t="shared" si="21"/>
        <v>121.83499999999999</v>
      </c>
    </row>
    <row r="106" spans="1:41" hidden="1" x14ac:dyDescent="0.45">
      <c r="A106" t="s">
        <v>34</v>
      </c>
      <c r="B106">
        <v>2015</v>
      </c>
      <c r="C106" t="s">
        <v>45</v>
      </c>
      <c r="D106">
        <v>122.9</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121.6</v>
      </c>
      <c r="W106">
        <v>123.4</v>
      </c>
      <c r="X106">
        <v>120.9</v>
      </c>
      <c r="Y106">
        <v>111.5</v>
      </c>
      <c r="Z106">
        <v>119.2</v>
      </c>
      <c r="AA106">
        <v>126.3</v>
      </c>
      <c r="AB106">
        <v>113.8</v>
      </c>
      <c r="AC106">
        <v>118.1</v>
      </c>
      <c r="AD106">
        <v>126.6</v>
      </c>
      <c r="AE106">
        <f t="shared" si="11"/>
        <v>132.69999999999999</v>
      </c>
      <c r="AF106">
        <f t="shared" si="12"/>
        <v>122.9</v>
      </c>
      <c r="AG106">
        <f t="shared" si="13"/>
        <v>126.3</v>
      </c>
      <c r="AH106">
        <f t="shared" si="14"/>
        <v>121.6</v>
      </c>
      <c r="AI106">
        <f t="shared" si="15"/>
        <v>120.9</v>
      </c>
      <c r="AJ106">
        <f t="shared" si="16"/>
        <v>111.5</v>
      </c>
      <c r="AK106">
        <f t="shared" si="17"/>
        <v>121.19999999999999</v>
      </c>
      <c r="AL106">
        <f t="shared" si="18"/>
        <v>119.2</v>
      </c>
      <c r="AM106">
        <f t="shared" si="19"/>
        <v>133.6</v>
      </c>
      <c r="AN106">
        <f t="shared" si="20"/>
        <v>120.75</v>
      </c>
      <c r="AO106">
        <f t="shared" si="21"/>
        <v>123.06499999999998</v>
      </c>
    </row>
    <row r="107" spans="1:41" hidden="1" x14ac:dyDescent="0.45">
      <c r="A107" t="s">
        <v>30</v>
      </c>
      <c r="B107">
        <v>2015</v>
      </c>
      <c r="C107" t="s">
        <v>46</v>
      </c>
      <c r="D107" t="s">
        <v>32</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v>125.7</v>
      </c>
      <c r="W107">
        <v>126</v>
      </c>
      <c r="X107">
        <v>123.1</v>
      </c>
      <c r="Y107">
        <v>114</v>
      </c>
      <c r="Z107">
        <v>121.6</v>
      </c>
      <c r="AA107">
        <v>125.6</v>
      </c>
      <c r="AB107">
        <v>114.1</v>
      </c>
      <c r="AC107">
        <v>119.8</v>
      </c>
      <c r="AD107">
        <v>127.9</v>
      </c>
      <c r="AE107">
        <f t="shared" si="11"/>
        <v>131.4</v>
      </c>
      <c r="AF107" t="str">
        <f t="shared" si="12"/>
        <v>NA</v>
      </c>
      <c r="AG107">
        <f t="shared" si="13"/>
        <v>125.6</v>
      </c>
      <c r="AH107">
        <f t="shared" si="14"/>
        <v>125.7</v>
      </c>
      <c r="AI107">
        <f t="shared" si="15"/>
        <v>123.1</v>
      </c>
      <c r="AJ107">
        <f t="shared" si="16"/>
        <v>114</v>
      </c>
      <c r="AK107">
        <f t="shared" si="17"/>
        <v>123</v>
      </c>
      <c r="AL107">
        <f t="shared" si="18"/>
        <v>121.6</v>
      </c>
      <c r="AM107">
        <f t="shared" si="19"/>
        <v>133.1</v>
      </c>
      <c r="AN107">
        <f t="shared" si="20"/>
        <v>122.9</v>
      </c>
      <c r="AO107">
        <f t="shared" si="21"/>
        <v>124.48888888888889</v>
      </c>
    </row>
    <row r="108" spans="1:41" hidden="1" x14ac:dyDescent="0.45">
      <c r="A108" t="s">
        <v>33</v>
      </c>
      <c r="B108">
        <v>2015</v>
      </c>
      <c r="C108" t="s">
        <v>46</v>
      </c>
      <c r="D108">
        <v>122.4</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116</v>
      </c>
      <c r="W108">
        <v>121</v>
      </c>
      <c r="X108">
        <v>118.6</v>
      </c>
      <c r="Y108">
        <v>109.3</v>
      </c>
      <c r="Z108">
        <v>118.1</v>
      </c>
      <c r="AA108">
        <v>126.6</v>
      </c>
      <c r="AB108">
        <v>113.2</v>
      </c>
      <c r="AC108">
        <v>116.7</v>
      </c>
      <c r="AD108">
        <v>124</v>
      </c>
      <c r="AE108">
        <f t="shared" si="11"/>
        <v>131.5</v>
      </c>
      <c r="AF108">
        <f t="shared" si="12"/>
        <v>122.4</v>
      </c>
      <c r="AG108">
        <f t="shared" si="13"/>
        <v>126.6</v>
      </c>
      <c r="AH108">
        <f t="shared" si="14"/>
        <v>116</v>
      </c>
      <c r="AI108">
        <f t="shared" si="15"/>
        <v>118.6</v>
      </c>
      <c r="AJ108">
        <f t="shared" si="16"/>
        <v>109.3</v>
      </c>
      <c r="AK108">
        <f t="shared" si="17"/>
        <v>118.85</v>
      </c>
      <c r="AL108">
        <f t="shared" si="18"/>
        <v>118.1</v>
      </c>
      <c r="AM108">
        <f t="shared" si="19"/>
        <v>138.19999999999999</v>
      </c>
      <c r="AN108">
        <f t="shared" si="20"/>
        <v>118.85</v>
      </c>
      <c r="AO108">
        <f t="shared" si="21"/>
        <v>121.83999999999999</v>
      </c>
    </row>
    <row r="109" spans="1:41" hidden="1" x14ac:dyDescent="0.45">
      <c r="A109" t="s">
        <v>34</v>
      </c>
      <c r="B109">
        <v>2015</v>
      </c>
      <c r="C109" t="s">
        <v>46</v>
      </c>
      <c r="D109">
        <v>122.4</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v>
      </c>
      <c r="W109">
        <v>123.6</v>
      </c>
      <c r="X109">
        <v>121.4</v>
      </c>
      <c r="Y109">
        <v>111.5</v>
      </c>
      <c r="Z109">
        <v>119.6</v>
      </c>
      <c r="AA109">
        <v>126.2</v>
      </c>
      <c r="AB109">
        <v>113.7</v>
      </c>
      <c r="AC109">
        <v>118.3</v>
      </c>
      <c r="AD109">
        <v>126.1</v>
      </c>
      <c r="AE109">
        <f t="shared" si="11"/>
        <v>131.4</v>
      </c>
      <c r="AF109">
        <f t="shared" si="12"/>
        <v>122.4</v>
      </c>
      <c r="AG109">
        <f t="shared" si="13"/>
        <v>126.2</v>
      </c>
      <c r="AH109">
        <f t="shared" si="14"/>
        <v>122</v>
      </c>
      <c r="AI109">
        <f t="shared" si="15"/>
        <v>121.4</v>
      </c>
      <c r="AJ109">
        <f t="shared" si="16"/>
        <v>111.5</v>
      </c>
      <c r="AK109">
        <f t="shared" si="17"/>
        <v>121.35</v>
      </c>
      <c r="AL109">
        <f t="shared" si="18"/>
        <v>119.6</v>
      </c>
      <c r="AM109">
        <f t="shared" si="19"/>
        <v>134.5</v>
      </c>
      <c r="AN109">
        <f t="shared" si="20"/>
        <v>120.94999999999999</v>
      </c>
      <c r="AO109">
        <f t="shared" si="21"/>
        <v>123.13</v>
      </c>
    </row>
    <row r="110" spans="1:41" hidden="1" x14ac:dyDescent="0.45">
      <c r="A110" t="s">
        <v>30</v>
      </c>
      <c r="B110">
        <v>2016</v>
      </c>
      <c r="C110" t="s">
        <v>31</v>
      </c>
      <c r="D110" t="s">
        <v>32</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v>126.2</v>
      </c>
      <c r="W110">
        <v>126.6</v>
      </c>
      <c r="X110">
        <v>123.7</v>
      </c>
      <c r="Y110">
        <v>113.6</v>
      </c>
      <c r="Z110">
        <v>121.4</v>
      </c>
      <c r="AA110">
        <v>126.2</v>
      </c>
      <c r="AB110">
        <v>114.9</v>
      </c>
      <c r="AC110">
        <v>120.1</v>
      </c>
      <c r="AD110">
        <v>128.1</v>
      </c>
      <c r="AE110">
        <f t="shared" si="11"/>
        <v>131.4</v>
      </c>
      <c r="AF110" t="str">
        <f t="shared" si="12"/>
        <v>NA</v>
      </c>
      <c r="AG110">
        <f t="shared" si="13"/>
        <v>126.2</v>
      </c>
      <c r="AH110">
        <f t="shared" si="14"/>
        <v>126.2</v>
      </c>
      <c r="AI110">
        <f t="shared" si="15"/>
        <v>123.7</v>
      </c>
      <c r="AJ110">
        <f t="shared" si="16"/>
        <v>113.6</v>
      </c>
      <c r="AK110">
        <f t="shared" si="17"/>
        <v>123.75</v>
      </c>
      <c r="AL110">
        <f t="shared" si="18"/>
        <v>121.4</v>
      </c>
      <c r="AM110">
        <f t="shared" si="19"/>
        <v>133.6</v>
      </c>
      <c r="AN110">
        <f t="shared" si="20"/>
        <v>123.35</v>
      </c>
      <c r="AO110">
        <f t="shared" si="21"/>
        <v>124.80000000000001</v>
      </c>
    </row>
    <row r="111" spans="1:41" hidden="1" x14ac:dyDescent="0.45">
      <c r="A111" t="s">
        <v>33</v>
      </c>
      <c r="B111">
        <v>2016</v>
      </c>
      <c r="C111" t="s">
        <v>31</v>
      </c>
      <c r="D111">
        <v>123.4</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116.9</v>
      </c>
      <c r="W111">
        <v>121.6</v>
      </c>
      <c r="X111">
        <v>119.1</v>
      </c>
      <c r="Y111">
        <v>108.9</v>
      </c>
      <c r="Z111">
        <v>118.5</v>
      </c>
      <c r="AA111">
        <v>126.4</v>
      </c>
      <c r="AB111">
        <v>114</v>
      </c>
      <c r="AC111">
        <v>116.8</v>
      </c>
      <c r="AD111">
        <v>124.2</v>
      </c>
      <c r="AE111">
        <f t="shared" si="11"/>
        <v>131.19999999999999</v>
      </c>
      <c r="AF111">
        <f t="shared" si="12"/>
        <v>123.4</v>
      </c>
      <c r="AG111">
        <f t="shared" si="13"/>
        <v>126.4</v>
      </c>
      <c r="AH111">
        <f t="shared" si="14"/>
        <v>116.9</v>
      </c>
      <c r="AI111">
        <f t="shared" si="15"/>
        <v>119.1</v>
      </c>
      <c r="AJ111">
        <f t="shared" si="16"/>
        <v>108.9</v>
      </c>
      <c r="AK111">
        <f t="shared" si="17"/>
        <v>119.45</v>
      </c>
      <c r="AL111">
        <f t="shared" si="18"/>
        <v>118.5</v>
      </c>
      <c r="AM111">
        <f t="shared" si="19"/>
        <v>139.5</v>
      </c>
      <c r="AN111">
        <f t="shared" si="20"/>
        <v>119.19999999999999</v>
      </c>
      <c r="AO111">
        <f t="shared" si="21"/>
        <v>122.255</v>
      </c>
    </row>
    <row r="112" spans="1:41" hidden="1" x14ac:dyDescent="0.45">
      <c r="A112" t="s">
        <v>34</v>
      </c>
      <c r="B112">
        <v>2016</v>
      </c>
      <c r="C112" t="s">
        <v>31</v>
      </c>
      <c r="D112">
        <v>123.4</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122.7</v>
      </c>
      <c r="W112">
        <v>124.2</v>
      </c>
      <c r="X112">
        <v>122</v>
      </c>
      <c r="Y112">
        <v>111.1</v>
      </c>
      <c r="Z112">
        <v>119.8</v>
      </c>
      <c r="AA112">
        <v>126.3</v>
      </c>
      <c r="AB112">
        <v>114.5</v>
      </c>
      <c r="AC112">
        <v>118.5</v>
      </c>
      <c r="AD112">
        <v>126.3</v>
      </c>
      <c r="AE112">
        <f t="shared" si="11"/>
        <v>131.30000000000001</v>
      </c>
      <c r="AF112">
        <f t="shared" si="12"/>
        <v>123.4</v>
      </c>
      <c r="AG112">
        <f t="shared" si="13"/>
        <v>126.3</v>
      </c>
      <c r="AH112">
        <f t="shared" si="14"/>
        <v>122.7</v>
      </c>
      <c r="AI112">
        <f t="shared" si="15"/>
        <v>122</v>
      </c>
      <c r="AJ112">
        <f t="shared" si="16"/>
        <v>111.1</v>
      </c>
      <c r="AK112">
        <f t="shared" si="17"/>
        <v>122</v>
      </c>
      <c r="AL112">
        <f t="shared" si="18"/>
        <v>119.8</v>
      </c>
      <c r="AM112">
        <f t="shared" si="19"/>
        <v>135.19999999999999</v>
      </c>
      <c r="AN112">
        <f t="shared" si="20"/>
        <v>121.35</v>
      </c>
      <c r="AO112">
        <f t="shared" si="21"/>
        <v>123.51499999999999</v>
      </c>
    </row>
    <row r="113" spans="1:41" hidden="1" x14ac:dyDescent="0.45">
      <c r="A113" t="s">
        <v>30</v>
      </c>
      <c r="B113">
        <v>2016</v>
      </c>
      <c r="C113" t="s">
        <v>35</v>
      </c>
      <c r="D113" t="s">
        <v>32</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v>127.5</v>
      </c>
      <c r="W113">
        <v>127.1</v>
      </c>
      <c r="X113">
        <v>124.3</v>
      </c>
      <c r="Y113">
        <v>113.9</v>
      </c>
      <c r="Z113">
        <v>122.3</v>
      </c>
      <c r="AA113">
        <v>127.1</v>
      </c>
      <c r="AB113">
        <v>116.8</v>
      </c>
      <c r="AC113">
        <v>120.9</v>
      </c>
      <c r="AD113">
        <v>127.9</v>
      </c>
      <c r="AE113">
        <f t="shared" si="11"/>
        <v>130.30000000000001</v>
      </c>
      <c r="AF113" t="str">
        <f t="shared" si="12"/>
        <v>NA</v>
      </c>
      <c r="AG113">
        <f t="shared" si="13"/>
        <v>127.1</v>
      </c>
      <c r="AH113">
        <f t="shared" si="14"/>
        <v>127.5</v>
      </c>
      <c r="AI113">
        <f t="shared" si="15"/>
        <v>124.3</v>
      </c>
      <c r="AJ113">
        <f t="shared" si="16"/>
        <v>113.9</v>
      </c>
      <c r="AK113">
        <f t="shared" si="17"/>
        <v>125.1</v>
      </c>
      <c r="AL113">
        <f t="shared" si="18"/>
        <v>122.3</v>
      </c>
      <c r="AM113">
        <f t="shared" si="19"/>
        <v>134.4</v>
      </c>
      <c r="AN113">
        <f t="shared" si="20"/>
        <v>124</v>
      </c>
      <c r="AO113">
        <f t="shared" si="21"/>
        <v>125.43333333333334</v>
      </c>
    </row>
    <row r="114" spans="1:41" hidden="1" x14ac:dyDescent="0.45">
      <c r="A114" t="s">
        <v>33</v>
      </c>
      <c r="B114">
        <v>2016</v>
      </c>
      <c r="C114" t="s">
        <v>35</v>
      </c>
      <c r="D114">
        <v>124.4</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116</v>
      </c>
      <c r="W114">
        <v>121.8</v>
      </c>
      <c r="X114">
        <v>119.5</v>
      </c>
      <c r="Y114">
        <v>109.1</v>
      </c>
      <c r="Z114">
        <v>118.8</v>
      </c>
      <c r="AA114">
        <v>126.3</v>
      </c>
      <c r="AB114">
        <v>116.2</v>
      </c>
      <c r="AC114">
        <v>117.2</v>
      </c>
      <c r="AD114">
        <v>123.8</v>
      </c>
      <c r="AE114">
        <f t="shared" si="11"/>
        <v>129.1</v>
      </c>
      <c r="AF114">
        <f t="shared" si="12"/>
        <v>124.4</v>
      </c>
      <c r="AG114">
        <f t="shared" si="13"/>
        <v>126.3</v>
      </c>
      <c r="AH114">
        <f t="shared" si="14"/>
        <v>116</v>
      </c>
      <c r="AI114">
        <f t="shared" si="15"/>
        <v>119.5</v>
      </c>
      <c r="AJ114">
        <f t="shared" si="16"/>
        <v>109.1</v>
      </c>
      <c r="AK114">
        <f t="shared" si="17"/>
        <v>120.75</v>
      </c>
      <c r="AL114">
        <f t="shared" si="18"/>
        <v>118.8</v>
      </c>
      <c r="AM114">
        <f t="shared" si="19"/>
        <v>140</v>
      </c>
      <c r="AN114">
        <f t="shared" si="20"/>
        <v>119.5</v>
      </c>
      <c r="AO114">
        <f t="shared" si="21"/>
        <v>122.34499999999998</v>
      </c>
    </row>
    <row r="115" spans="1:41" hidden="1" x14ac:dyDescent="0.45">
      <c r="A115" t="s">
        <v>34</v>
      </c>
      <c r="B115">
        <v>2016</v>
      </c>
      <c r="C115" t="s">
        <v>35</v>
      </c>
      <c r="D115">
        <v>124.4</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123.1</v>
      </c>
      <c r="W115">
        <v>124.6</v>
      </c>
      <c r="X115">
        <v>122.5</v>
      </c>
      <c r="Y115">
        <v>111.4</v>
      </c>
      <c r="Z115">
        <v>120.3</v>
      </c>
      <c r="AA115">
        <v>126.6</v>
      </c>
      <c r="AB115">
        <v>116.6</v>
      </c>
      <c r="AC115">
        <v>119.1</v>
      </c>
      <c r="AD115">
        <v>126</v>
      </c>
      <c r="AE115">
        <f t="shared" si="11"/>
        <v>129.9</v>
      </c>
      <c r="AF115">
        <f t="shared" si="12"/>
        <v>124.4</v>
      </c>
      <c r="AG115">
        <f t="shared" si="13"/>
        <v>126.6</v>
      </c>
      <c r="AH115">
        <f t="shared" si="14"/>
        <v>123.1</v>
      </c>
      <c r="AI115">
        <f t="shared" si="15"/>
        <v>122.5</v>
      </c>
      <c r="AJ115">
        <f t="shared" si="16"/>
        <v>111.4</v>
      </c>
      <c r="AK115">
        <f t="shared" si="17"/>
        <v>123.39999999999999</v>
      </c>
      <c r="AL115">
        <f t="shared" si="18"/>
        <v>120.3</v>
      </c>
      <c r="AM115">
        <f t="shared" si="19"/>
        <v>135.9</v>
      </c>
      <c r="AN115">
        <f t="shared" si="20"/>
        <v>121.85</v>
      </c>
      <c r="AO115">
        <f t="shared" si="21"/>
        <v>123.93499999999999</v>
      </c>
    </row>
    <row r="116" spans="1:41" hidden="1" x14ac:dyDescent="0.45">
      <c r="A116" t="s">
        <v>30</v>
      </c>
      <c r="B116">
        <v>2016</v>
      </c>
      <c r="C116" t="s">
        <v>36</v>
      </c>
      <c r="D116" t="s">
        <v>32</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v>127</v>
      </c>
      <c r="W116">
        <v>127.7</v>
      </c>
      <c r="X116">
        <v>124.8</v>
      </c>
      <c r="Y116">
        <v>113.6</v>
      </c>
      <c r="Z116">
        <v>122.5</v>
      </c>
      <c r="AA116">
        <v>127.5</v>
      </c>
      <c r="AB116">
        <v>117.4</v>
      </c>
      <c r="AC116">
        <v>121.1</v>
      </c>
      <c r="AD116">
        <v>128</v>
      </c>
      <c r="AE116">
        <f t="shared" si="11"/>
        <v>130.4</v>
      </c>
      <c r="AF116" t="str">
        <f t="shared" si="12"/>
        <v>NA</v>
      </c>
      <c r="AG116">
        <f t="shared" si="13"/>
        <v>127.5</v>
      </c>
      <c r="AH116">
        <f t="shared" si="14"/>
        <v>127</v>
      </c>
      <c r="AI116">
        <f t="shared" si="15"/>
        <v>124.8</v>
      </c>
      <c r="AJ116">
        <f t="shared" si="16"/>
        <v>113.6</v>
      </c>
      <c r="AK116">
        <f t="shared" si="17"/>
        <v>125.60000000000001</v>
      </c>
      <c r="AL116">
        <f t="shared" si="18"/>
        <v>122.5</v>
      </c>
      <c r="AM116">
        <f t="shared" si="19"/>
        <v>135</v>
      </c>
      <c r="AN116">
        <f t="shared" si="20"/>
        <v>124.4</v>
      </c>
      <c r="AO116">
        <f t="shared" si="21"/>
        <v>125.64444444444445</v>
      </c>
    </row>
    <row r="117" spans="1:41" hidden="1" x14ac:dyDescent="0.45">
      <c r="A117" t="s">
        <v>33</v>
      </c>
      <c r="B117">
        <v>2016</v>
      </c>
      <c r="C117" t="s">
        <v>36</v>
      </c>
      <c r="D117">
        <v>124.9</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114.8</v>
      </c>
      <c r="W117">
        <v>122.3</v>
      </c>
      <c r="X117">
        <v>119.7</v>
      </c>
      <c r="Y117">
        <v>108.5</v>
      </c>
      <c r="Z117">
        <v>119.1</v>
      </c>
      <c r="AA117">
        <v>126.4</v>
      </c>
      <c r="AB117">
        <v>117.1</v>
      </c>
      <c r="AC117">
        <v>117.3</v>
      </c>
      <c r="AD117">
        <v>123.8</v>
      </c>
      <c r="AE117">
        <f t="shared" si="11"/>
        <v>128.9</v>
      </c>
      <c r="AF117">
        <f t="shared" si="12"/>
        <v>124.9</v>
      </c>
      <c r="AG117">
        <f t="shared" si="13"/>
        <v>126.4</v>
      </c>
      <c r="AH117">
        <f t="shared" si="14"/>
        <v>114.8</v>
      </c>
      <c r="AI117">
        <f t="shared" si="15"/>
        <v>119.7</v>
      </c>
      <c r="AJ117">
        <f t="shared" si="16"/>
        <v>108.5</v>
      </c>
      <c r="AK117">
        <f t="shared" si="17"/>
        <v>121.3</v>
      </c>
      <c r="AL117">
        <f t="shared" si="18"/>
        <v>119.1</v>
      </c>
      <c r="AM117">
        <f t="shared" si="19"/>
        <v>140.6</v>
      </c>
      <c r="AN117">
        <f t="shared" si="20"/>
        <v>119.8</v>
      </c>
      <c r="AO117">
        <f t="shared" si="21"/>
        <v>122.4</v>
      </c>
    </row>
    <row r="118" spans="1:41" hidden="1" x14ac:dyDescent="0.45">
      <c r="A118" t="s">
        <v>34</v>
      </c>
      <c r="B118">
        <v>2016</v>
      </c>
      <c r="C118" t="s">
        <v>36</v>
      </c>
      <c r="D118">
        <v>124.9</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122.4</v>
      </c>
      <c r="W118">
        <v>125.1</v>
      </c>
      <c r="X118">
        <v>122.9</v>
      </c>
      <c r="Y118">
        <v>110.9</v>
      </c>
      <c r="Z118">
        <v>120.6</v>
      </c>
      <c r="AA118">
        <v>126.9</v>
      </c>
      <c r="AB118">
        <v>117.3</v>
      </c>
      <c r="AC118">
        <v>119.3</v>
      </c>
      <c r="AD118">
        <v>126</v>
      </c>
      <c r="AE118">
        <f t="shared" si="11"/>
        <v>129.80000000000001</v>
      </c>
      <c r="AF118">
        <f t="shared" si="12"/>
        <v>124.9</v>
      </c>
      <c r="AG118">
        <f t="shared" si="13"/>
        <v>126.9</v>
      </c>
      <c r="AH118">
        <f t="shared" si="14"/>
        <v>122.4</v>
      </c>
      <c r="AI118">
        <f t="shared" si="15"/>
        <v>122.9</v>
      </c>
      <c r="AJ118">
        <f t="shared" si="16"/>
        <v>110.9</v>
      </c>
      <c r="AK118">
        <f t="shared" si="17"/>
        <v>123.9</v>
      </c>
      <c r="AL118">
        <f t="shared" si="18"/>
        <v>120.6</v>
      </c>
      <c r="AM118">
        <f t="shared" si="19"/>
        <v>136.5</v>
      </c>
      <c r="AN118">
        <f t="shared" si="20"/>
        <v>122.19999999999999</v>
      </c>
      <c r="AO118">
        <f t="shared" si="21"/>
        <v>124.1</v>
      </c>
    </row>
    <row r="119" spans="1:41" hidden="1" x14ac:dyDescent="0.45">
      <c r="A119" t="s">
        <v>30</v>
      </c>
      <c r="B119">
        <v>2016</v>
      </c>
      <c r="C119" t="s">
        <v>37</v>
      </c>
      <c r="D119" t="s">
        <v>32</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v>127</v>
      </c>
      <c r="W119">
        <v>128</v>
      </c>
      <c r="X119">
        <v>125.2</v>
      </c>
      <c r="Y119">
        <v>114.4</v>
      </c>
      <c r="Z119">
        <v>123.2</v>
      </c>
      <c r="AA119">
        <v>127.9</v>
      </c>
      <c r="AB119">
        <v>118.4</v>
      </c>
      <c r="AC119">
        <v>121.7</v>
      </c>
      <c r="AD119">
        <v>129</v>
      </c>
      <c r="AE119">
        <f t="shared" si="11"/>
        <v>131.80000000000001</v>
      </c>
      <c r="AF119" t="str">
        <f t="shared" si="12"/>
        <v>NA</v>
      </c>
      <c r="AG119">
        <f t="shared" si="13"/>
        <v>127.9</v>
      </c>
      <c r="AH119">
        <f t="shared" si="14"/>
        <v>127</v>
      </c>
      <c r="AI119">
        <f t="shared" si="15"/>
        <v>125.2</v>
      </c>
      <c r="AJ119">
        <f t="shared" si="16"/>
        <v>114.4</v>
      </c>
      <c r="AK119">
        <f t="shared" si="17"/>
        <v>126.4</v>
      </c>
      <c r="AL119">
        <f t="shared" si="18"/>
        <v>123.2</v>
      </c>
      <c r="AM119">
        <f t="shared" si="19"/>
        <v>135.5</v>
      </c>
      <c r="AN119">
        <f t="shared" si="20"/>
        <v>124.85</v>
      </c>
      <c r="AO119">
        <f t="shared" si="21"/>
        <v>126.25</v>
      </c>
    </row>
    <row r="120" spans="1:41" hidden="1" x14ac:dyDescent="0.45">
      <c r="A120" t="s">
        <v>33</v>
      </c>
      <c r="B120">
        <v>2016</v>
      </c>
      <c r="C120" t="s">
        <v>37</v>
      </c>
      <c r="D120">
        <v>125.6</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114.6</v>
      </c>
      <c r="W120">
        <v>122.8</v>
      </c>
      <c r="X120">
        <v>120</v>
      </c>
      <c r="Y120">
        <v>110</v>
      </c>
      <c r="Z120">
        <v>119.5</v>
      </c>
      <c r="AA120">
        <v>127.6</v>
      </c>
      <c r="AB120">
        <v>117.6</v>
      </c>
      <c r="AC120">
        <v>118.2</v>
      </c>
      <c r="AD120">
        <v>125.3</v>
      </c>
      <c r="AE120">
        <f t="shared" si="11"/>
        <v>131.80000000000001</v>
      </c>
      <c r="AF120">
        <f t="shared" si="12"/>
        <v>125.6</v>
      </c>
      <c r="AG120">
        <f t="shared" si="13"/>
        <v>127.6</v>
      </c>
      <c r="AH120">
        <f t="shared" si="14"/>
        <v>114.6</v>
      </c>
      <c r="AI120">
        <f t="shared" si="15"/>
        <v>120</v>
      </c>
      <c r="AJ120">
        <f t="shared" si="16"/>
        <v>110</v>
      </c>
      <c r="AK120">
        <f t="shared" si="17"/>
        <v>121.69999999999999</v>
      </c>
      <c r="AL120">
        <f t="shared" si="18"/>
        <v>119.5</v>
      </c>
      <c r="AM120">
        <f t="shared" si="19"/>
        <v>141.5</v>
      </c>
      <c r="AN120">
        <f t="shared" si="20"/>
        <v>120.5</v>
      </c>
      <c r="AO120">
        <f t="shared" si="21"/>
        <v>123.28</v>
      </c>
    </row>
    <row r="121" spans="1:41" hidden="1" x14ac:dyDescent="0.45">
      <c r="A121" t="s">
        <v>34</v>
      </c>
      <c r="B121">
        <v>2016</v>
      </c>
      <c r="C121" t="s">
        <v>37</v>
      </c>
      <c r="D121">
        <v>125.6</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122.3</v>
      </c>
      <c r="W121">
        <v>125.5</v>
      </c>
      <c r="X121">
        <v>123.2</v>
      </c>
      <c r="Y121">
        <v>112.1</v>
      </c>
      <c r="Z121">
        <v>121.1</v>
      </c>
      <c r="AA121">
        <v>127.7</v>
      </c>
      <c r="AB121">
        <v>118.1</v>
      </c>
      <c r="AC121">
        <v>120</v>
      </c>
      <c r="AD121">
        <v>127.3</v>
      </c>
      <c r="AE121">
        <f t="shared" si="11"/>
        <v>131.80000000000001</v>
      </c>
      <c r="AF121">
        <f t="shared" si="12"/>
        <v>125.6</v>
      </c>
      <c r="AG121">
        <f t="shared" si="13"/>
        <v>127.7</v>
      </c>
      <c r="AH121">
        <f t="shared" si="14"/>
        <v>122.3</v>
      </c>
      <c r="AI121">
        <f t="shared" si="15"/>
        <v>123.2</v>
      </c>
      <c r="AJ121">
        <f t="shared" si="16"/>
        <v>112.1</v>
      </c>
      <c r="AK121">
        <f t="shared" si="17"/>
        <v>124.55</v>
      </c>
      <c r="AL121">
        <f t="shared" si="18"/>
        <v>121.1</v>
      </c>
      <c r="AM121">
        <f t="shared" si="19"/>
        <v>137.1</v>
      </c>
      <c r="AN121">
        <f t="shared" si="20"/>
        <v>122.75</v>
      </c>
      <c r="AO121">
        <f t="shared" si="21"/>
        <v>124.82000000000001</v>
      </c>
    </row>
    <row r="122" spans="1:41" hidden="1" x14ac:dyDescent="0.45">
      <c r="A122" t="s">
        <v>30</v>
      </c>
      <c r="B122">
        <v>2016</v>
      </c>
      <c r="C122" t="s">
        <v>38</v>
      </c>
      <c r="D122" t="s">
        <v>32</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v>127.4</v>
      </c>
      <c r="W122">
        <v>128.5</v>
      </c>
      <c r="X122">
        <v>125.8</v>
      </c>
      <c r="Y122">
        <v>115.1</v>
      </c>
      <c r="Z122">
        <v>123.6</v>
      </c>
      <c r="AA122">
        <v>129.1</v>
      </c>
      <c r="AB122">
        <v>119.7</v>
      </c>
      <c r="AC122">
        <v>122.5</v>
      </c>
      <c r="AD122">
        <v>130.30000000000001</v>
      </c>
      <c r="AE122">
        <f t="shared" si="11"/>
        <v>133.6</v>
      </c>
      <c r="AF122" t="str">
        <f t="shared" si="12"/>
        <v>NA</v>
      </c>
      <c r="AG122">
        <f t="shared" si="13"/>
        <v>129.1</v>
      </c>
      <c r="AH122">
        <f t="shared" si="14"/>
        <v>127.4</v>
      </c>
      <c r="AI122">
        <f t="shared" si="15"/>
        <v>125.8</v>
      </c>
      <c r="AJ122">
        <f t="shared" si="16"/>
        <v>115.1</v>
      </c>
      <c r="AK122">
        <f t="shared" si="17"/>
        <v>127.25</v>
      </c>
      <c r="AL122">
        <f t="shared" si="18"/>
        <v>123.6</v>
      </c>
      <c r="AM122">
        <f t="shared" si="19"/>
        <v>136</v>
      </c>
      <c r="AN122">
        <f t="shared" si="20"/>
        <v>125.5</v>
      </c>
      <c r="AO122">
        <f t="shared" si="21"/>
        <v>127.03888888888888</v>
      </c>
    </row>
    <row r="123" spans="1:41" hidden="1" x14ac:dyDescent="0.45">
      <c r="A123" t="s">
        <v>33</v>
      </c>
      <c r="B123">
        <v>2016</v>
      </c>
      <c r="C123" t="s">
        <v>38</v>
      </c>
      <c r="D123">
        <v>126</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115</v>
      </c>
      <c r="W123">
        <v>123.2</v>
      </c>
      <c r="X123">
        <v>120.3</v>
      </c>
      <c r="Y123">
        <v>110.7</v>
      </c>
      <c r="Z123">
        <v>119.8</v>
      </c>
      <c r="AA123">
        <v>128</v>
      </c>
      <c r="AB123">
        <v>118.5</v>
      </c>
      <c r="AC123">
        <v>118.7</v>
      </c>
      <c r="AD123">
        <v>126.6</v>
      </c>
      <c r="AE123">
        <f t="shared" si="11"/>
        <v>134.6</v>
      </c>
      <c r="AF123">
        <f t="shared" si="12"/>
        <v>126</v>
      </c>
      <c r="AG123">
        <f t="shared" si="13"/>
        <v>128</v>
      </c>
      <c r="AH123">
        <f t="shared" si="14"/>
        <v>115</v>
      </c>
      <c r="AI123">
        <f t="shared" si="15"/>
        <v>120.3</v>
      </c>
      <c r="AJ123">
        <f t="shared" si="16"/>
        <v>110.7</v>
      </c>
      <c r="AK123">
        <f t="shared" si="17"/>
        <v>122.35</v>
      </c>
      <c r="AL123">
        <f t="shared" si="18"/>
        <v>119.8</v>
      </c>
      <c r="AM123">
        <f t="shared" si="19"/>
        <v>142.19999999999999</v>
      </c>
      <c r="AN123">
        <f t="shared" si="20"/>
        <v>120.95</v>
      </c>
      <c r="AO123">
        <f t="shared" si="21"/>
        <v>123.99000000000001</v>
      </c>
    </row>
    <row r="124" spans="1:41" hidden="1" x14ac:dyDescent="0.45">
      <c r="A124" t="s">
        <v>34</v>
      </c>
      <c r="B124">
        <v>2016</v>
      </c>
      <c r="C124" t="s">
        <v>38</v>
      </c>
      <c r="D124">
        <v>126</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122.7</v>
      </c>
      <c r="W124">
        <v>126</v>
      </c>
      <c r="X124">
        <v>123.7</v>
      </c>
      <c r="Y124">
        <v>112.8</v>
      </c>
      <c r="Z124">
        <v>121.5</v>
      </c>
      <c r="AA124">
        <v>128.5</v>
      </c>
      <c r="AB124">
        <v>119.2</v>
      </c>
      <c r="AC124">
        <v>120.7</v>
      </c>
      <c r="AD124">
        <v>128.6</v>
      </c>
      <c r="AE124">
        <f t="shared" si="11"/>
        <v>134</v>
      </c>
      <c r="AF124">
        <f t="shared" si="12"/>
        <v>126</v>
      </c>
      <c r="AG124">
        <f t="shared" si="13"/>
        <v>128.5</v>
      </c>
      <c r="AH124">
        <f t="shared" si="14"/>
        <v>122.7</v>
      </c>
      <c r="AI124">
        <f t="shared" si="15"/>
        <v>123.7</v>
      </c>
      <c r="AJ124">
        <f t="shared" si="16"/>
        <v>112.8</v>
      </c>
      <c r="AK124">
        <f t="shared" si="17"/>
        <v>125.30000000000001</v>
      </c>
      <c r="AL124">
        <f t="shared" si="18"/>
        <v>121.5</v>
      </c>
      <c r="AM124">
        <f t="shared" si="19"/>
        <v>137.69999999999999</v>
      </c>
      <c r="AN124">
        <f t="shared" si="20"/>
        <v>123.35</v>
      </c>
      <c r="AO124">
        <f t="shared" si="21"/>
        <v>125.55499999999999</v>
      </c>
    </row>
    <row r="125" spans="1:41" hidden="1" x14ac:dyDescent="0.45">
      <c r="A125" t="s">
        <v>30</v>
      </c>
      <c r="B125">
        <v>2016</v>
      </c>
      <c r="C125" t="s">
        <v>39</v>
      </c>
      <c r="D125" t="s">
        <v>32</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v>128</v>
      </c>
      <c r="W125">
        <v>129.30000000000001</v>
      </c>
      <c r="X125">
        <v>126.2</v>
      </c>
      <c r="Y125">
        <v>116.3</v>
      </c>
      <c r="Z125">
        <v>124.1</v>
      </c>
      <c r="AA125">
        <v>130.19999999999999</v>
      </c>
      <c r="AB125">
        <v>119.9</v>
      </c>
      <c r="AC125">
        <v>123.3</v>
      </c>
      <c r="AD125">
        <v>131.9</v>
      </c>
      <c r="AE125">
        <f t="shared" si="11"/>
        <v>136</v>
      </c>
      <c r="AF125" t="str">
        <f t="shared" si="12"/>
        <v>NA</v>
      </c>
      <c r="AG125">
        <f t="shared" si="13"/>
        <v>130.19999999999999</v>
      </c>
      <c r="AH125">
        <f t="shared" si="14"/>
        <v>128</v>
      </c>
      <c r="AI125">
        <f t="shared" si="15"/>
        <v>126.2</v>
      </c>
      <c r="AJ125">
        <f t="shared" si="16"/>
        <v>116.3</v>
      </c>
      <c r="AK125">
        <f t="shared" si="17"/>
        <v>127.75</v>
      </c>
      <c r="AL125">
        <f t="shared" si="18"/>
        <v>124.1</v>
      </c>
      <c r="AM125">
        <f t="shared" si="19"/>
        <v>137.19999999999999</v>
      </c>
      <c r="AN125">
        <f t="shared" si="20"/>
        <v>126.30000000000001</v>
      </c>
      <c r="AO125">
        <f t="shared" si="21"/>
        <v>128.00555555555556</v>
      </c>
    </row>
    <row r="126" spans="1:41" hidden="1" x14ac:dyDescent="0.45">
      <c r="A126" t="s">
        <v>33</v>
      </c>
      <c r="B126">
        <v>2016</v>
      </c>
      <c r="C126" t="s">
        <v>39</v>
      </c>
      <c r="D126">
        <v>125.5</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115.5</v>
      </c>
      <c r="W126">
        <v>123.2</v>
      </c>
      <c r="X126">
        <v>120.6</v>
      </c>
      <c r="Y126">
        <v>112.3</v>
      </c>
      <c r="Z126">
        <v>119.9</v>
      </c>
      <c r="AA126">
        <v>129.30000000000001</v>
      </c>
      <c r="AB126">
        <v>118.8</v>
      </c>
      <c r="AC126">
        <v>119.6</v>
      </c>
      <c r="AD126">
        <v>128.1</v>
      </c>
      <c r="AE126">
        <f t="shared" si="11"/>
        <v>138.19999999999999</v>
      </c>
      <c r="AF126">
        <f t="shared" si="12"/>
        <v>125.5</v>
      </c>
      <c r="AG126">
        <f t="shared" si="13"/>
        <v>129.30000000000001</v>
      </c>
      <c r="AH126">
        <f t="shared" si="14"/>
        <v>115.5</v>
      </c>
      <c r="AI126">
        <f t="shared" si="15"/>
        <v>120.6</v>
      </c>
      <c r="AJ126">
        <f t="shared" si="16"/>
        <v>112.3</v>
      </c>
      <c r="AK126">
        <f t="shared" si="17"/>
        <v>122.69999999999999</v>
      </c>
      <c r="AL126">
        <f t="shared" si="18"/>
        <v>119.9</v>
      </c>
      <c r="AM126">
        <f t="shared" si="19"/>
        <v>142.69999999999999</v>
      </c>
      <c r="AN126">
        <f t="shared" si="20"/>
        <v>121.4</v>
      </c>
      <c r="AO126">
        <f t="shared" si="21"/>
        <v>124.80999999999999</v>
      </c>
    </row>
    <row r="127" spans="1:41" hidden="1" x14ac:dyDescent="0.45">
      <c r="A127" t="s">
        <v>34</v>
      </c>
      <c r="B127">
        <v>2016</v>
      </c>
      <c r="C127" t="s">
        <v>39</v>
      </c>
      <c r="D127">
        <v>125.5</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123.3</v>
      </c>
      <c r="W127">
        <v>126.4</v>
      </c>
      <c r="X127">
        <v>124.1</v>
      </c>
      <c r="Y127">
        <v>114.2</v>
      </c>
      <c r="Z127">
        <v>121.7</v>
      </c>
      <c r="AA127">
        <v>129.69999999999999</v>
      </c>
      <c r="AB127">
        <v>119.4</v>
      </c>
      <c r="AC127">
        <v>121.5</v>
      </c>
      <c r="AD127">
        <v>130.1</v>
      </c>
      <c r="AE127">
        <f t="shared" si="11"/>
        <v>136.80000000000001</v>
      </c>
      <c r="AF127">
        <f t="shared" si="12"/>
        <v>125.5</v>
      </c>
      <c r="AG127">
        <f t="shared" si="13"/>
        <v>129.69999999999999</v>
      </c>
      <c r="AH127">
        <f t="shared" si="14"/>
        <v>123.3</v>
      </c>
      <c r="AI127">
        <f t="shared" si="15"/>
        <v>124.1</v>
      </c>
      <c r="AJ127">
        <f t="shared" si="16"/>
        <v>114.2</v>
      </c>
      <c r="AK127">
        <f t="shared" si="17"/>
        <v>125.7</v>
      </c>
      <c r="AL127">
        <f t="shared" si="18"/>
        <v>121.7</v>
      </c>
      <c r="AM127">
        <f t="shared" si="19"/>
        <v>138.69999999999999</v>
      </c>
      <c r="AN127">
        <f t="shared" si="20"/>
        <v>123.95</v>
      </c>
      <c r="AO127">
        <f t="shared" si="21"/>
        <v>126.36500000000001</v>
      </c>
    </row>
    <row r="128" spans="1:41" hidden="1" x14ac:dyDescent="0.45">
      <c r="A128" t="s">
        <v>30</v>
      </c>
      <c r="B128">
        <v>2016</v>
      </c>
      <c r="C128" t="s">
        <v>40</v>
      </c>
      <c r="D128" t="s">
        <v>32</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v>128.19999999999999</v>
      </c>
      <c r="W128">
        <v>130</v>
      </c>
      <c r="X128">
        <v>126.7</v>
      </c>
      <c r="Y128">
        <v>116.4</v>
      </c>
      <c r="Z128">
        <v>125.2</v>
      </c>
      <c r="AA128">
        <v>130.80000000000001</v>
      </c>
      <c r="AB128">
        <v>120.9</v>
      </c>
      <c r="AC128">
        <v>123.8</v>
      </c>
      <c r="AD128">
        <v>133</v>
      </c>
      <c r="AE128">
        <f t="shared" si="11"/>
        <v>137.6</v>
      </c>
      <c r="AF128" t="str">
        <f t="shared" si="12"/>
        <v>NA</v>
      </c>
      <c r="AG128">
        <f t="shared" si="13"/>
        <v>130.80000000000001</v>
      </c>
      <c r="AH128">
        <f t="shared" si="14"/>
        <v>128.19999999999999</v>
      </c>
      <c r="AI128">
        <f t="shared" si="15"/>
        <v>126.7</v>
      </c>
      <c r="AJ128">
        <f t="shared" si="16"/>
        <v>116.4</v>
      </c>
      <c r="AK128">
        <f t="shared" si="17"/>
        <v>128.69999999999999</v>
      </c>
      <c r="AL128">
        <f t="shared" si="18"/>
        <v>125.2</v>
      </c>
      <c r="AM128">
        <f t="shared" si="19"/>
        <v>138</v>
      </c>
      <c r="AN128">
        <f t="shared" si="20"/>
        <v>126.9</v>
      </c>
      <c r="AO128">
        <f t="shared" si="21"/>
        <v>128.72222222222223</v>
      </c>
    </row>
    <row r="129" spans="1:41" hidden="1" x14ac:dyDescent="0.45">
      <c r="A129" t="s">
        <v>33</v>
      </c>
      <c r="B129">
        <v>2016</v>
      </c>
      <c r="C129" t="s">
        <v>40</v>
      </c>
      <c r="D129">
        <v>126.4</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115.5</v>
      </c>
      <c r="W129">
        <v>123.5</v>
      </c>
      <c r="X129">
        <v>120.9</v>
      </c>
      <c r="Y129">
        <v>111.7</v>
      </c>
      <c r="Z129">
        <v>120.3</v>
      </c>
      <c r="AA129">
        <v>130.80000000000001</v>
      </c>
      <c r="AB129">
        <v>120</v>
      </c>
      <c r="AC129">
        <v>119.9</v>
      </c>
      <c r="AD129">
        <v>129</v>
      </c>
      <c r="AE129">
        <f t="shared" si="11"/>
        <v>139.80000000000001</v>
      </c>
      <c r="AF129">
        <f t="shared" si="12"/>
        <v>126.4</v>
      </c>
      <c r="AG129">
        <f t="shared" si="13"/>
        <v>130.80000000000001</v>
      </c>
      <c r="AH129">
        <f t="shared" si="14"/>
        <v>115.5</v>
      </c>
      <c r="AI129">
        <f t="shared" si="15"/>
        <v>120.9</v>
      </c>
      <c r="AJ129">
        <f t="shared" si="16"/>
        <v>111.7</v>
      </c>
      <c r="AK129">
        <f t="shared" si="17"/>
        <v>123.45</v>
      </c>
      <c r="AL129">
        <f t="shared" si="18"/>
        <v>120.3</v>
      </c>
      <c r="AM129">
        <f t="shared" si="19"/>
        <v>142.9</v>
      </c>
      <c r="AN129">
        <f t="shared" si="20"/>
        <v>121.7</v>
      </c>
      <c r="AO129">
        <f t="shared" si="21"/>
        <v>125.345</v>
      </c>
    </row>
    <row r="130" spans="1:41" hidden="1" x14ac:dyDescent="0.45">
      <c r="A130" t="s">
        <v>34</v>
      </c>
      <c r="B130">
        <v>2016</v>
      </c>
      <c r="C130" t="s">
        <v>40</v>
      </c>
      <c r="D130">
        <v>126.4</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123.4</v>
      </c>
      <c r="W130">
        <v>126.9</v>
      </c>
      <c r="X130">
        <v>124.5</v>
      </c>
      <c r="Y130">
        <v>113.9</v>
      </c>
      <c r="Z130">
        <v>122.4</v>
      </c>
      <c r="AA130">
        <v>130.80000000000001</v>
      </c>
      <c r="AB130">
        <v>120.5</v>
      </c>
      <c r="AC130">
        <v>121.9</v>
      </c>
      <c r="AD130">
        <v>131.1</v>
      </c>
      <c r="AE130">
        <f t="shared" si="11"/>
        <v>138.4</v>
      </c>
      <c r="AF130">
        <f t="shared" si="12"/>
        <v>126.4</v>
      </c>
      <c r="AG130">
        <f t="shared" si="13"/>
        <v>130.80000000000001</v>
      </c>
      <c r="AH130">
        <f t="shared" si="14"/>
        <v>123.4</v>
      </c>
      <c r="AI130">
        <f t="shared" si="15"/>
        <v>124.5</v>
      </c>
      <c r="AJ130">
        <f t="shared" si="16"/>
        <v>113.9</v>
      </c>
      <c r="AK130">
        <f t="shared" si="17"/>
        <v>126.6</v>
      </c>
      <c r="AL130">
        <f t="shared" si="18"/>
        <v>122.4</v>
      </c>
      <c r="AM130">
        <f t="shared" si="19"/>
        <v>139.30000000000001</v>
      </c>
      <c r="AN130">
        <f t="shared" si="20"/>
        <v>124.4</v>
      </c>
      <c r="AO130">
        <f t="shared" si="21"/>
        <v>127.01000000000002</v>
      </c>
    </row>
    <row r="131" spans="1:41" hidden="1" x14ac:dyDescent="0.45">
      <c r="A131" t="s">
        <v>30</v>
      </c>
      <c r="B131">
        <v>2016</v>
      </c>
      <c r="C131" t="s">
        <v>41</v>
      </c>
      <c r="D131" t="s">
        <v>32</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v>129.1</v>
      </c>
      <c r="W131">
        <v>130.6</v>
      </c>
      <c r="X131">
        <v>127</v>
      </c>
      <c r="Y131">
        <v>116</v>
      </c>
      <c r="Z131">
        <v>125.5</v>
      </c>
      <c r="AA131">
        <v>131.9</v>
      </c>
      <c r="AB131">
        <v>122</v>
      </c>
      <c r="AC131">
        <v>124.2</v>
      </c>
      <c r="AD131">
        <v>133.5</v>
      </c>
      <c r="AE131">
        <f t="shared" ref="AE131:AE194" si="22">Q131</f>
        <v>138</v>
      </c>
      <c r="AF131" t="str">
        <f t="shared" ref="AF131:AF194" si="23">D131</f>
        <v>NA</v>
      </c>
      <c r="AG131">
        <f t="shared" ref="AG131:AG194" si="24">AA131</f>
        <v>131.9</v>
      </c>
      <c r="AH131">
        <f t="shared" ref="AH131:AH194" si="25">V131</f>
        <v>129.1</v>
      </c>
      <c r="AI131">
        <f t="shared" ref="AI131:AI194" si="26">X131</f>
        <v>127</v>
      </c>
      <c r="AJ131">
        <f t="shared" ref="AJ131:AJ194" si="27">Y131</f>
        <v>116</v>
      </c>
      <c r="AK131">
        <f t="shared" ref="AK131:AK194" si="28">AVERAGE(U131,AB131)</f>
        <v>129.55000000000001</v>
      </c>
      <c r="AL131">
        <f t="shared" ref="AL131:AL194" si="29">Z131</f>
        <v>125.5</v>
      </c>
      <c r="AM131">
        <f t="shared" ref="AM131:AM194" si="30">R131</f>
        <v>138.9</v>
      </c>
      <c r="AN131">
        <f t="shared" ref="AN131:AN194" si="31">AVERAGE(W131,AC131)</f>
        <v>127.4</v>
      </c>
      <c r="AO131">
        <f t="shared" ref="AO131:AO194" si="32">AVERAGE(AE131:AN131)</f>
        <v>129.26111111111112</v>
      </c>
    </row>
    <row r="132" spans="1:41" hidden="1" x14ac:dyDescent="0.45">
      <c r="A132" t="s">
        <v>33</v>
      </c>
      <c r="B132">
        <v>2016</v>
      </c>
      <c r="C132" t="s">
        <v>41</v>
      </c>
      <c r="D132">
        <v>127.3</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114.7</v>
      </c>
      <c r="W132">
        <v>123.9</v>
      </c>
      <c r="X132">
        <v>121.2</v>
      </c>
      <c r="Y132">
        <v>110.4</v>
      </c>
      <c r="Z132">
        <v>120.6</v>
      </c>
      <c r="AA132">
        <v>131.5</v>
      </c>
      <c r="AB132">
        <v>120.9</v>
      </c>
      <c r="AC132">
        <v>119.9</v>
      </c>
      <c r="AD132">
        <v>128.4</v>
      </c>
      <c r="AE132">
        <f t="shared" si="22"/>
        <v>137.6</v>
      </c>
      <c r="AF132">
        <f t="shared" si="23"/>
        <v>127.3</v>
      </c>
      <c r="AG132">
        <f t="shared" si="24"/>
        <v>131.5</v>
      </c>
      <c r="AH132">
        <f t="shared" si="25"/>
        <v>114.7</v>
      </c>
      <c r="AI132">
        <f t="shared" si="26"/>
        <v>121.2</v>
      </c>
      <c r="AJ132">
        <f t="shared" si="27"/>
        <v>110.4</v>
      </c>
      <c r="AK132">
        <f t="shared" si="28"/>
        <v>124.1</v>
      </c>
      <c r="AL132">
        <f t="shared" si="29"/>
        <v>120.6</v>
      </c>
      <c r="AM132">
        <f t="shared" si="30"/>
        <v>143.6</v>
      </c>
      <c r="AN132">
        <f t="shared" si="31"/>
        <v>121.9</v>
      </c>
      <c r="AO132">
        <f t="shared" si="32"/>
        <v>125.29</v>
      </c>
    </row>
    <row r="133" spans="1:41" hidden="1" x14ac:dyDescent="0.45">
      <c r="A133" t="s">
        <v>34</v>
      </c>
      <c r="B133">
        <v>2016</v>
      </c>
      <c r="C133" t="s">
        <v>41</v>
      </c>
      <c r="D133">
        <v>127.3</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123.6</v>
      </c>
      <c r="W133">
        <v>127.4</v>
      </c>
      <c r="X133">
        <v>124.8</v>
      </c>
      <c r="Y133">
        <v>113.1</v>
      </c>
      <c r="Z133">
        <v>122.7</v>
      </c>
      <c r="AA133">
        <v>131.69999999999999</v>
      </c>
      <c r="AB133">
        <v>121.5</v>
      </c>
      <c r="AC133">
        <v>122.1</v>
      </c>
      <c r="AD133">
        <v>131.1</v>
      </c>
      <c r="AE133">
        <f t="shared" si="22"/>
        <v>137.9</v>
      </c>
      <c r="AF133">
        <f t="shared" si="23"/>
        <v>127.3</v>
      </c>
      <c r="AG133">
        <f t="shared" si="24"/>
        <v>131.69999999999999</v>
      </c>
      <c r="AH133">
        <f t="shared" si="25"/>
        <v>123.6</v>
      </c>
      <c r="AI133">
        <f t="shared" si="26"/>
        <v>124.8</v>
      </c>
      <c r="AJ133">
        <f t="shared" si="27"/>
        <v>113.1</v>
      </c>
      <c r="AK133">
        <f t="shared" si="28"/>
        <v>127.35</v>
      </c>
      <c r="AL133">
        <f t="shared" si="29"/>
        <v>122.7</v>
      </c>
      <c r="AM133">
        <f t="shared" si="30"/>
        <v>140.19999999999999</v>
      </c>
      <c r="AN133">
        <f t="shared" si="31"/>
        <v>124.75</v>
      </c>
      <c r="AO133">
        <f t="shared" si="32"/>
        <v>127.34</v>
      </c>
    </row>
    <row r="134" spans="1:41" hidden="1" x14ac:dyDescent="0.45">
      <c r="A134" t="s">
        <v>30</v>
      </c>
      <c r="B134">
        <v>2016</v>
      </c>
      <c r="C134" t="s">
        <v>42</v>
      </c>
      <c r="D134" t="s">
        <v>32</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v>129.69999999999999</v>
      </c>
      <c r="W134">
        <v>131.1</v>
      </c>
      <c r="X134">
        <v>127.8</v>
      </c>
      <c r="Y134">
        <v>117</v>
      </c>
      <c r="Z134">
        <v>125.7</v>
      </c>
      <c r="AA134">
        <v>132.19999999999999</v>
      </c>
      <c r="AB134">
        <v>122.8</v>
      </c>
      <c r="AC134">
        <v>124.9</v>
      </c>
      <c r="AD134">
        <v>133.4</v>
      </c>
      <c r="AE134">
        <f t="shared" si="22"/>
        <v>137.19999999999999</v>
      </c>
      <c r="AF134" t="str">
        <f t="shared" si="23"/>
        <v>NA</v>
      </c>
      <c r="AG134">
        <f t="shared" si="24"/>
        <v>132.19999999999999</v>
      </c>
      <c r="AH134">
        <f t="shared" si="25"/>
        <v>129.69999999999999</v>
      </c>
      <c r="AI134">
        <f t="shared" si="26"/>
        <v>127.8</v>
      </c>
      <c r="AJ134">
        <f t="shared" si="27"/>
        <v>117</v>
      </c>
      <c r="AK134">
        <f t="shared" si="28"/>
        <v>130.30000000000001</v>
      </c>
      <c r="AL134">
        <f t="shared" si="29"/>
        <v>125.7</v>
      </c>
      <c r="AM134">
        <f t="shared" si="30"/>
        <v>139.9</v>
      </c>
      <c r="AN134">
        <f t="shared" si="31"/>
        <v>128</v>
      </c>
      <c r="AO134">
        <f t="shared" si="32"/>
        <v>129.75555555555559</v>
      </c>
    </row>
    <row r="135" spans="1:41" hidden="1" x14ac:dyDescent="0.45">
      <c r="A135" t="s">
        <v>33</v>
      </c>
      <c r="B135">
        <v>2016</v>
      </c>
      <c r="C135" t="s">
        <v>42</v>
      </c>
      <c r="D135">
        <v>127.9</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114.8</v>
      </c>
      <c r="W135">
        <v>124.3</v>
      </c>
      <c r="X135">
        <v>121.4</v>
      </c>
      <c r="Y135">
        <v>111.8</v>
      </c>
      <c r="Z135">
        <v>120.8</v>
      </c>
      <c r="AA135">
        <v>131.6</v>
      </c>
      <c r="AB135">
        <v>121.2</v>
      </c>
      <c r="AC135">
        <v>120.5</v>
      </c>
      <c r="AD135">
        <v>128</v>
      </c>
      <c r="AE135">
        <f t="shared" si="22"/>
        <v>135.69999999999999</v>
      </c>
      <c r="AF135">
        <f t="shared" si="23"/>
        <v>127.9</v>
      </c>
      <c r="AG135">
        <f t="shared" si="24"/>
        <v>131.6</v>
      </c>
      <c r="AH135">
        <f t="shared" si="25"/>
        <v>114.8</v>
      </c>
      <c r="AI135">
        <f t="shared" si="26"/>
        <v>121.4</v>
      </c>
      <c r="AJ135">
        <f t="shared" si="27"/>
        <v>111.8</v>
      </c>
      <c r="AK135">
        <f t="shared" si="28"/>
        <v>124.45</v>
      </c>
      <c r="AL135">
        <f t="shared" si="29"/>
        <v>120.8</v>
      </c>
      <c r="AM135">
        <f t="shared" si="30"/>
        <v>143.9</v>
      </c>
      <c r="AN135">
        <f t="shared" si="31"/>
        <v>122.4</v>
      </c>
      <c r="AO135">
        <f t="shared" si="32"/>
        <v>125.47500000000002</v>
      </c>
    </row>
    <row r="136" spans="1:41" hidden="1" x14ac:dyDescent="0.45">
      <c r="A136" t="s">
        <v>34</v>
      </c>
      <c r="B136">
        <v>2016</v>
      </c>
      <c r="C136" t="s">
        <v>42</v>
      </c>
      <c r="D136">
        <v>127.9</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124.1</v>
      </c>
      <c r="W136">
        <v>127.9</v>
      </c>
      <c r="X136">
        <v>125.4</v>
      </c>
      <c r="Y136">
        <v>114.3</v>
      </c>
      <c r="Z136">
        <v>122.9</v>
      </c>
      <c r="AA136">
        <v>131.80000000000001</v>
      </c>
      <c r="AB136">
        <v>122.1</v>
      </c>
      <c r="AC136">
        <v>122.8</v>
      </c>
      <c r="AD136">
        <v>130.9</v>
      </c>
      <c r="AE136">
        <f t="shared" si="22"/>
        <v>136.6</v>
      </c>
      <c r="AF136">
        <f t="shared" si="23"/>
        <v>127.9</v>
      </c>
      <c r="AG136">
        <f t="shared" si="24"/>
        <v>131.80000000000001</v>
      </c>
      <c r="AH136">
        <f t="shared" si="25"/>
        <v>124.1</v>
      </c>
      <c r="AI136">
        <f t="shared" si="26"/>
        <v>125.4</v>
      </c>
      <c r="AJ136">
        <f t="shared" si="27"/>
        <v>114.3</v>
      </c>
      <c r="AK136">
        <f t="shared" si="28"/>
        <v>127.95</v>
      </c>
      <c r="AL136">
        <f t="shared" si="29"/>
        <v>122.9</v>
      </c>
      <c r="AM136">
        <f t="shared" si="30"/>
        <v>141</v>
      </c>
      <c r="AN136">
        <f t="shared" si="31"/>
        <v>125.35</v>
      </c>
      <c r="AO136">
        <f t="shared" si="32"/>
        <v>127.72999999999998</v>
      </c>
    </row>
    <row r="137" spans="1:41" hidden="1" x14ac:dyDescent="0.45">
      <c r="A137" t="s">
        <v>30</v>
      </c>
      <c r="B137">
        <v>2016</v>
      </c>
      <c r="C137" t="s">
        <v>43</v>
      </c>
      <c r="D137" t="s">
        <v>32</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v>129.80000000000001</v>
      </c>
      <c r="W137">
        <v>131.80000000000001</v>
      </c>
      <c r="X137">
        <v>128.69999999999999</v>
      </c>
      <c r="Y137">
        <v>117.8</v>
      </c>
      <c r="Z137">
        <v>126.5</v>
      </c>
      <c r="AA137">
        <v>133</v>
      </c>
      <c r="AB137">
        <v>123</v>
      </c>
      <c r="AC137">
        <v>125.7</v>
      </c>
      <c r="AD137">
        <v>133.80000000000001</v>
      </c>
      <c r="AE137">
        <f t="shared" si="22"/>
        <v>137.4</v>
      </c>
      <c r="AF137" t="str">
        <f t="shared" si="23"/>
        <v>NA</v>
      </c>
      <c r="AG137">
        <f t="shared" si="24"/>
        <v>133</v>
      </c>
      <c r="AH137">
        <f t="shared" si="25"/>
        <v>129.80000000000001</v>
      </c>
      <c r="AI137">
        <f t="shared" si="26"/>
        <v>128.69999999999999</v>
      </c>
      <c r="AJ137">
        <f t="shared" si="27"/>
        <v>117.8</v>
      </c>
      <c r="AK137">
        <f t="shared" si="28"/>
        <v>130.9</v>
      </c>
      <c r="AL137">
        <f t="shared" si="29"/>
        <v>126.5</v>
      </c>
      <c r="AM137">
        <f t="shared" si="30"/>
        <v>140.9</v>
      </c>
      <c r="AN137">
        <f t="shared" si="31"/>
        <v>128.75</v>
      </c>
      <c r="AO137">
        <f t="shared" si="32"/>
        <v>130.41666666666666</v>
      </c>
    </row>
    <row r="138" spans="1:41" hidden="1" x14ac:dyDescent="0.45">
      <c r="A138" t="s">
        <v>33</v>
      </c>
      <c r="B138">
        <v>2016</v>
      </c>
      <c r="C138" t="s">
        <v>43</v>
      </c>
      <c r="D138">
        <v>128.69999999999999</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115.2</v>
      </c>
      <c r="W138">
        <v>124.5</v>
      </c>
      <c r="X138">
        <v>121.8</v>
      </c>
      <c r="Y138">
        <v>112.8</v>
      </c>
      <c r="Z138">
        <v>121.2</v>
      </c>
      <c r="AA138">
        <v>131.9</v>
      </c>
      <c r="AB138">
        <v>120.8</v>
      </c>
      <c r="AC138">
        <v>120.9</v>
      </c>
      <c r="AD138">
        <v>128.6</v>
      </c>
      <c r="AE138">
        <f t="shared" si="22"/>
        <v>136.30000000000001</v>
      </c>
      <c r="AF138">
        <f t="shared" si="23"/>
        <v>128.69999999999999</v>
      </c>
      <c r="AG138">
        <f t="shared" si="24"/>
        <v>131.9</v>
      </c>
      <c r="AH138">
        <f t="shared" si="25"/>
        <v>115.2</v>
      </c>
      <c r="AI138">
        <f t="shared" si="26"/>
        <v>121.8</v>
      </c>
      <c r="AJ138">
        <f t="shared" si="27"/>
        <v>112.8</v>
      </c>
      <c r="AK138">
        <f t="shared" si="28"/>
        <v>124.4</v>
      </c>
      <c r="AL138">
        <f t="shared" si="29"/>
        <v>121.2</v>
      </c>
      <c r="AM138">
        <f t="shared" si="30"/>
        <v>144.30000000000001</v>
      </c>
      <c r="AN138">
        <f t="shared" si="31"/>
        <v>122.7</v>
      </c>
      <c r="AO138">
        <f t="shared" si="32"/>
        <v>125.92999999999999</v>
      </c>
    </row>
    <row r="139" spans="1:41" hidden="1" x14ac:dyDescent="0.45">
      <c r="A139" t="s">
        <v>34</v>
      </c>
      <c r="B139">
        <v>2016</v>
      </c>
      <c r="C139" t="s">
        <v>43</v>
      </c>
      <c r="D139">
        <v>128.69999999999999</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124.3</v>
      </c>
      <c r="W139">
        <v>128.4</v>
      </c>
      <c r="X139">
        <v>126.1</v>
      </c>
      <c r="Y139">
        <v>115.2</v>
      </c>
      <c r="Z139">
        <v>123.5</v>
      </c>
      <c r="AA139">
        <v>132.4</v>
      </c>
      <c r="AB139">
        <v>122.1</v>
      </c>
      <c r="AC139">
        <v>123.4</v>
      </c>
      <c r="AD139">
        <v>131.4</v>
      </c>
      <c r="AE139">
        <f t="shared" si="22"/>
        <v>137</v>
      </c>
      <c r="AF139">
        <f t="shared" si="23"/>
        <v>128.69999999999999</v>
      </c>
      <c r="AG139">
        <f t="shared" si="24"/>
        <v>132.4</v>
      </c>
      <c r="AH139">
        <f t="shared" si="25"/>
        <v>124.3</v>
      </c>
      <c r="AI139">
        <f t="shared" si="26"/>
        <v>126.1</v>
      </c>
      <c r="AJ139">
        <f t="shared" si="27"/>
        <v>115.2</v>
      </c>
      <c r="AK139">
        <f t="shared" si="28"/>
        <v>128.30000000000001</v>
      </c>
      <c r="AL139">
        <f t="shared" si="29"/>
        <v>123.5</v>
      </c>
      <c r="AM139">
        <f t="shared" si="30"/>
        <v>141.80000000000001</v>
      </c>
      <c r="AN139">
        <f t="shared" si="31"/>
        <v>125.9</v>
      </c>
      <c r="AO139">
        <f t="shared" si="32"/>
        <v>128.32</v>
      </c>
    </row>
    <row r="140" spans="1:41" hidden="1" x14ac:dyDescent="0.45">
      <c r="A140" t="s">
        <v>30</v>
      </c>
      <c r="B140">
        <v>2016</v>
      </c>
      <c r="C140" t="s">
        <v>45</v>
      </c>
      <c r="D140" t="s">
        <v>32</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v>130.30000000000001</v>
      </c>
      <c r="W140">
        <v>132.1</v>
      </c>
      <c r="X140">
        <v>129.1</v>
      </c>
      <c r="Y140">
        <v>118.2</v>
      </c>
      <c r="Z140">
        <v>126.9</v>
      </c>
      <c r="AA140">
        <v>133.69999999999999</v>
      </c>
      <c r="AB140">
        <v>123.5</v>
      </c>
      <c r="AC140">
        <v>126.1</v>
      </c>
      <c r="AD140">
        <v>133.6</v>
      </c>
      <c r="AE140">
        <f t="shared" si="22"/>
        <v>136.6</v>
      </c>
      <c r="AF140" t="str">
        <f t="shared" si="23"/>
        <v>NA</v>
      </c>
      <c r="AG140">
        <f t="shared" si="24"/>
        <v>133.69999999999999</v>
      </c>
      <c r="AH140">
        <f t="shared" si="25"/>
        <v>130.30000000000001</v>
      </c>
      <c r="AI140">
        <f t="shared" si="26"/>
        <v>129.1</v>
      </c>
      <c r="AJ140">
        <f t="shared" si="27"/>
        <v>118.2</v>
      </c>
      <c r="AK140">
        <f t="shared" si="28"/>
        <v>131.35</v>
      </c>
      <c r="AL140">
        <f t="shared" si="29"/>
        <v>126.9</v>
      </c>
      <c r="AM140">
        <f t="shared" si="30"/>
        <v>141.19999999999999</v>
      </c>
      <c r="AN140">
        <f t="shared" si="31"/>
        <v>129.1</v>
      </c>
      <c r="AO140">
        <f t="shared" si="32"/>
        <v>130.71666666666664</v>
      </c>
    </row>
    <row r="141" spans="1:41" hidden="1" x14ac:dyDescent="0.45">
      <c r="A141" t="s">
        <v>33</v>
      </c>
      <c r="B141">
        <v>2016</v>
      </c>
      <c r="C141" t="s">
        <v>45</v>
      </c>
      <c r="D141">
        <v>129.1</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116.2</v>
      </c>
      <c r="W141">
        <v>124.7</v>
      </c>
      <c r="X141">
        <v>122.1</v>
      </c>
      <c r="Y141">
        <v>113.4</v>
      </c>
      <c r="Z141">
        <v>121.7</v>
      </c>
      <c r="AA141">
        <v>132.1</v>
      </c>
      <c r="AB141">
        <v>121.3</v>
      </c>
      <c r="AC141">
        <v>121.3</v>
      </c>
      <c r="AD141">
        <v>128.5</v>
      </c>
      <c r="AE141">
        <f t="shared" si="22"/>
        <v>135.19999999999999</v>
      </c>
      <c r="AF141">
        <f t="shared" si="23"/>
        <v>129.1</v>
      </c>
      <c r="AG141">
        <f t="shared" si="24"/>
        <v>132.1</v>
      </c>
      <c r="AH141">
        <f t="shared" si="25"/>
        <v>116.2</v>
      </c>
      <c r="AI141">
        <f t="shared" si="26"/>
        <v>122.1</v>
      </c>
      <c r="AJ141">
        <f t="shared" si="27"/>
        <v>113.4</v>
      </c>
      <c r="AK141">
        <f t="shared" si="28"/>
        <v>124.9</v>
      </c>
      <c r="AL141">
        <f t="shared" si="29"/>
        <v>121.7</v>
      </c>
      <c r="AM141">
        <f t="shared" si="30"/>
        <v>144.30000000000001</v>
      </c>
      <c r="AN141">
        <f t="shared" si="31"/>
        <v>123</v>
      </c>
      <c r="AO141">
        <f t="shared" si="32"/>
        <v>126.2</v>
      </c>
    </row>
    <row r="142" spans="1:41" hidden="1" x14ac:dyDescent="0.45">
      <c r="A142" t="s">
        <v>34</v>
      </c>
      <c r="B142">
        <v>2016</v>
      </c>
      <c r="C142" t="s">
        <v>45</v>
      </c>
      <c r="D142">
        <v>129.1</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125</v>
      </c>
      <c r="W142">
        <v>128.6</v>
      </c>
      <c r="X142">
        <v>126.4</v>
      </c>
      <c r="Y142">
        <v>115.7</v>
      </c>
      <c r="Z142">
        <v>124</v>
      </c>
      <c r="AA142">
        <v>132.80000000000001</v>
      </c>
      <c r="AB142">
        <v>122.6</v>
      </c>
      <c r="AC142">
        <v>123.8</v>
      </c>
      <c r="AD142">
        <v>131.19999999999999</v>
      </c>
      <c r="AE142">
        <f t="shared" si="22"/>
        <v>136.1</v>
      </c>
      <c r="AF142">
        <f t="shared" si="23"/>
        <v>129.1</v>
      </c>
      <c r="AG142">
        <f t="shared" si="24"/>
        <v>132.80000000000001</v>
      </c>
      <c r="AH142">
        <f t="shared" si="25"/>
        <v>125</v>
      </c>
      <c r="AI142">
        <f t="shared" si="26"/>
        <v>126.4</v>
      </c>
      <c r="AJ142">
        <f t="shared" si="27"/>
        <v>115.7</v>
      </c>
      <c r="AK142">
        <f t="shared" si="28"/>
        <v>128.80000000000001</v>
      </c>
      <c r="AL142">
        <f t="shared" si="29"/>
        <v>124</v>
      </c>
      <c r="AM142">
        <f t="shared" si="30"/>
        <v>142</v>
      </c>
      <c r="AN142">
        <f t="shared" si="31"/>
        <v>126.19999999999999</v>
      </c>
      <c r="AO142">
        <f t="shared" si="32"/>
        <v>128.61000000000001</v>
      </c>
    </row>
    <row r="143" spans="1:41" hidden="1" x14ac:dyDescent="0.45">
      <c r="A143" t="s">
        <v>30</v>
      </c>
      <c r="B143">
        <v>2016</v>
      </c>
      <c r="C143" t="s">
        <v>46</v>
      </c>
      <c r="D143" t="s">
        <v>32</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v>132</v>
      </c>
      <c r="W143">
        <v>132.9</v>
      </c>
      <c r="X143">
        <v>129.69999999999999</v>
      </c>
      <c r="Y143">
        <v>118.6</v>
      </c>
      <c r="Z143">
        <v>127.3</v>
      </c>
      <c r="AA143">
        <v>134.19999999999999</v>
      </c>
      <c r="AB143">
        <v>121.9</v>
      </c>
      <c r="AC143">
        <v>126.3</v>
      </c>
      <c r="AD143">
        <v>132.80000000000001</v>
      </c>
      <c r="AE143">
        <f t="shared" si="22"/>
        <v>134.69999999999999</v>
      </c>
      <c r="AF143" t="str">
        <f t="shared" si="23"/>
        <v>NA</v>
      </c>
      <c r="AG143">
        <f t="shared" si="24"/>
        <v>134.19999999999999</v>
      </c>
      <c r="AH143">
        <f t="shared" si="25"/>
        <v>132</v>
      </c>
      <c r="AI143">
        <f t="shared" si="26"/>
        <v>129.69999999999999</v>
      </c>
      <c r="AJ143">
        <f t="shared" si="27"/>
        <v>118.6</v>
      </c>
      <c r="AK143">
        <f t="shared" si="28"/>
        <v>130.80000000000001</v>
      </c>
      <c r="AL143">
        <f t="shared" si="29"/>
        <v>127.3</v>
      </c>
      <c r="AM143">
        <f t="shared" si="30"/>
        <v>142.4</v>
      </c>
      <c r="AN143">
        <f t="shared" si="31"/>
        <v>129.6</v>
      </c>
      <c r="AO143">
        <f t="shared" si="32"/>
        <v>131.03333333333333</v>
      </c>
    </row>
    <row r="144" spans="1:41" hidden="1" x14ac:dyDescent="0.45">
      <c r="A144" t="s">
        <v>33</v>
      </c>
      <c r="B144">
        <v>2016</v>
      </c>
      <c r="C144" t="s">
        <v>46</v>
      </c>
      <c r="D144">
        <v>128.5</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117.8</v>
      </c>
      <c r="W144">
        <v>125</v>
      </c>
      <c r="X144">
        <v>122.3</v>
      </c>
      <c r="Y144">
        <v>113.7</v>
      </c>
      <c r="Z144">
        <v>121.8</v>
      </c>
      <c r="AA144">
        <v>132.30000000000001</v>
      </c>
      <c r="AB144">
        <v>119.9</v>
      </c>
      <c r="AC144">
        <v>121.4</v>
      </c>
      <c r="AD144">
        <v>127.6</v>
      </c>
      <c r="AE144">
        <f t="shared" si="22"/>
        <v>132.80000000000001</v>
      </c>
      <c r="AF144">
        <f t="shared" si="23"/>
        <v>128.5</v>
      </c>
      <c r="AG144">
        <f t="shared" si="24"/>
        <v>132.30000000000001</v>
      </c>
      <c r="AH144">
        <f t="shared" si="25"/>
        <v>117.8</v>
      </c>
      <c r="AI144">
        <f t="shared" si="26"/>
        <v>122.3</v>
      </c>
      <c r="AJ144">
        <f t="shared" si="27"/>
        <v>113.7</v>
      </c>
      <c r="AK144">
        <f t="shared" si="28"/>
        <v>124.35000000000001</v>
      </c>
      <c r="AL144">
        <f t="shared" si="29"/>
        <v>121.8</v>
      </c>
      <c r="AM144">
        <f t="shared" si="30"/>
        <v>145</v>
      </c>
      <c r="AN144">
        <f t="shared" si="31"/>
        <v>123.2</v>
      </c>
      <c r="AO144">
        <f t="shared" si="32"/>
        <v>126.17500000000003</v>
      </c>
    </row>
    <row r="145" spans="1:41" hidden="1" x14ac:dyDescent="0.45">
      <c r="A145" t="s">
        <v>34</v>
      </c>
      <c r="B145">
        <v>2016</v>
      </c>
      <c r="C145" t="s">
        <v>46</v>
      </c>
      <c r="D145">
        <v>128.5</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126.6</v>
      </c>
      <c r="W145">
        <v>129.19999999999999</v>
      </c>
      <c r="X145">
        <v>126.9</v>
      </c>
      <c r="Y145">
        <v>116</v>
      </c>
      <c r="Z145">
        <v>124.2</v>
      </c>
      <c r="AA145">
        <v>133.1</v>
      </c>
      <c r="AB145">
        <v>121.1</v>
      </c>
      <c r="AC145">
        <v>123.9</v>
      </c>
      <c r="AD145">
        <v>130.4</v>
      </c>
      <c r="AE145">
        <f t="shared" si="22"/>
        <v>134</v>
      </c>
      <c r="AF145">
        <f t="shared" si="23"/>
        <v>128.5</v>
      </c>
      <c r="AG145">
        <f t="shared" si="24"/>
        <v>133.1</v>
      </c>
      <c r="AH145">
        <f t="shared" si="25"/>
        <v>126.6</v>
      </c>
      <c r="AI145">
        <f t="shared" si="26"/>
        <v>126.9</v>
      </c>
      <c r="AJ145">
        <f t="shared" si="27"/>
        <v>116</v>
      </c>
      <c r="AK145">
        <f t="shared" si="28"/>
        <v>128.25</v>
      </c>
      <c r="AL145">
        <f t="shared" si="29"/>
        <v>124.2</v>
      </c>
      <c r="AM145">
        <f t="shared" si="30"/>
        <v>143.1</v>
      </c>
      <c r="AN145">
        <f t="shared" si="31"/>
        <v>126.55</v>
      </c>
      <c r="AO145">
        <f t="shared" si="32"/>
        <v>128.72</v>
      </c>
    </row>
    <row r="146" spans="1:41" hidden="1" x14ac:dyDescent="0.45">
      <c r="A146" t="s">
        <v>30</v>
      </c>
      <c r="B146">
        <v>2017</v>
      </c>
      <c r="C146" t="s">
        <v>31</v>
      </c>
      <c r="D146" t="s">
        <v>32</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v>132.1</v>
      </c>
      <c r="W146">
        <v>133.19999999999999</v>
      </c>
      <c r="X146">
        <v>129.9</v>
      </c>
      <c r="Y146">
        <v>119.1</v>
      </c>
      <c r="Z146">
        <v>127</v>
      </c>
      <c r="AA146">
        <v>134.6</v>
      </c>
      <c r="AB146">
        <v>122.3</v>
      </c>
      <c r="AC146">
        <v>126.6</v>
      </c>
      <c r="AD146">
        <v>132.4</v>
      </c>
      <c r="AE146">
        <f t="shared" si="22"/>
        <v>133.69999999999999</v>
      </c>
      <c r="AF146" t="str">
        <f t="shared" si="23"/>
        <v>NA</v>
      </c>
      <c r="AG146">
        <f t="shared" si="24"/>
        <v>134.6</v>
      </c>
      <c r="AH146">
        <f t="shared" si="25"/>
        <v>132.1</v>
      </c>
      <c r="AI146">
        <f t="shared" si="26"/>
        <v>129.9</v>
      </c>
      <c r="AJ146">
        <f t="shared" si="27"/>
        <v>119.1</v>
      </c>
      <c r="AK146">
        <f t="shared" si="28"/>
        <v>131.15</v>
      </c>
      <c r="AL146">
        <f t="shared" si="29"/>
        <v>127</v>
      </c>
      <c r="AM146">
        <f t="shared" si="30"/>
        <v>143.1</v>
      </c>
      <c r="AN146">
        <f t="shared" si="31"/>
        <v>129.89999999999998</v>
      </c>
      <c r="AO146">
        <f t="shared" si="32"/>
        <v>131.17222222222219</v>
      </c>
    </row>
    <row r="147" spans="1:41" hidden="1" x14ac:dyDescent="0.45">
      <c r="A147" t="s">
        <v>33</v>
      </c>
      <c r="B147">
        <v>2017</v>
      </c>
      <c r="C147" t="s">
        <v>31</v>
      </c>
      <c r="D147">
        <v>129.6</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118</v>
      </c>
      <c r="W147">
        <v>125.1</v>
      </c>
      <c r="X147">
        <v>122.6</v>
      </c>
      <c r="Y147">
        <v>115.2</v>
      </c>
      <c r="Z147">
        <v>122</v>
      </c>
      <c r="AA147">
        <v>132.4</v>
      </c>
      <c r="AB147">
        <v>120.9</v>
      </c>
      <c r="AC147">
        <v>122.1</v>
      </c>
      <c r="AD147">
        <v>127.8</v>
      </c>
      <c r="AE147">
        <f t="shared" si="22"/>
        <v>132</v>
      </c>
      <c r="AF147">
        <f t="shared" si="23"/>
        <v>129.6</v>
      </c>
      <c r="AG147">
        <f t="shared" si="24"/>
        <v>132.4</v>
      </c>
      <c r="AH147">
        <f t="shared" si="25"/>
        <v>118</v>
      </c>
      <c r="AI147">
        <f t="shared" si="26"/>
        <v>122.6</v>
      </c>
      <c r="AJ147">
        <f t="shared" si="27"/>
        <v>115.2</v>
      </c>
      <c r="AK147">
        <f t="shared" si="28"/>
        <v>124.95</v>
      </c>
      <c r="AL147">
        <f t="shared" si="29"/>
        <v>122</v>
      </c>
      <c r="AM147">
        <f t="shared" si="30"/>
        <v>145.6</v>
      </c>
      <c r="AN147">
        <f t="shared" si="31"/>
        <v>123.6</v>
      </c>
      <c r="AO147">
        <f t="shared" si="32"/>
        <v>126.595</v>
      </c>
    </row>
    <row r="148" spans="1:41" hidden="1" x14ac:dyDescent="0.45">
      <c r="A148" t="s">
        <v>34</v>
      </c>
      <c r="B148">
        <v>2017</v>
      </c>
      <c r="C148" t="s">
        <v>31</v>
      </c>
      <c r="D148">
        <v>129.6</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126.8</v>
      </c>
      <c r="W148">
        <v>129.4</v>
      </c>
      <c r="X148">
        <v>127.1</v>
      </c>
      <c r="Y148">
        <v>117</v>
      </c>
      <c r="Z148">
        <v>124.2</v>
      </c>
      <c r="AA148">
        <v>133.30000000000001</v>
      </c>
      <c r="AB148">
        <v>121.7</v>
      </c>
      <c r="AC148">
        <v>124.4</v>
      </c>
      <c r="AD148">
        <v>130.30000000000001</v>
      </c>
      <c r="AE148">
        <f t="shared" si="22"/>
        <v>133.1</v>
      </c>
      <c r="AF148">
        <f t="shared" si="23"/>
        <v>129.6</v>
      </c>
      <c r="AG148">
        <f t="shared" si="24"/>
        <v>133.30000000000001</v>
      </c>
      <c r="AH148">
        <f t="shared" si="25"/>
        <v>126.8</v>
      </c>
      <c r="AI148">
        <f t="shared" si="26"/>
        <v>127.1</v>
      </c>
      <c r="AJ148">
        <f t="shared" si="27"/>
        <v>117</v>
      </c>
      <c r="AK148">
        <f t="shared" si="28"/>
        <v>128.65</v>
      </c>
      <c r="AL148">
        <f t="shared" si="29"/>
        <v>124.2</v>
      </c>
      <c r="AM148">
        <f t="shared" si="30"/>
        <v>143.80000000000001</v>
      </c>
      <c r="AN148">
        <f t="shared" si="31"/>
        <v>126.9</v>
      </c>
      <c r="AO148">
        <f t="shared" si="32"/>
        <v>129.04500000000002</v>
      </c>
    </row>
    <row r="149" spans="1:41" hidden="1" x14ac:dyDescent="0.45">
      <c r="A149" t="s">
        <v>30</v>
      </c>
      <c r="B149">
        <v>2017</v>
      </c>
      <c r="C149" t="s">
        <v>35</v>
      </c>
      <c r="D149" t="s">
        <v>32</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v>133.19999999999999</v>
      </c>
      <c r="W149">
        <v>133.6</v>
      </c>
      <c r="X149">
        <v>130.1</v>
      </c>
      <c r="Y149">
        <v>119.5</v>
      </c>
      <c r="Z149">
        <v>127.7</v>
      </c>
      <c r="AA149">
        <v>134.9</v>
      </c>
      <c r="AB149">
        <v>123.2</v>
      </c>
      <c r="AC149">
        <v>127</v>
      </c>
      <c r="AD149">
        <v>132.6</v>
      </c>
      <c r="AE149">
        <f t="shared" si="22"/>
        <v>133.6</v>
      </c>
      <c r="AF149" t="str">
        <f t="shared" si="23"/>
        <v>NA</v>
      </c>
      <c r="AG149">
        <f t="shared" si="24"/>
        <v>134.9</v>
      </c>
      <c r="AH149">
        <f t="shared" si="25"/>
        <v>133.19999999999999</v>
      </c>
      <c r="AI149">
        <f t="shared" si="26"/>
        <v>130.1</v>
      </c>
      <c r="AJ149">
        <f t="shared" si="27"/>
        <v>119.5</v>
      </c>
      <c r="AK149">
        <f t="shared" si="28"/>
        <v>131.69999999999999</v>
      </c>
      <c r="AL149">
        <f t="shared" si="29"/>
        <v>127.7</v>
      </c>
      <c r="AM149">
        <f t="shared" si="30"/>
        <v>143.69999999999999</v>
      </c>
      <c r="AN149">
        <f t="shared" si="31"/>
        <v>130.30000000000001</v>
      </c>
      <c r="AO149">
        <f t="shared" si="32"/>
        <v>131.63333333333333</v>
      </c>
    </row>
    <row r="150" spans="1:41" hidden="1" x14ac:dyDescent="0.45">
      <c r="A150" t="s">
        <v>33</v>
      </c>
      <c r="B150">
        <v>2017</v>
      </c>
      <c r="C150" t="s">
        <v>35</v>
      </c>
      <c r="D150">
        <v>130.5</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119.2</v>
      </c>
      <c r="W150">
        <v>125.3</v>
      </c>
      <c r="X150">
        <v>122.9</v>
      </c>
      <c r="Y150">
        <v>115.5</v>
      </c>
      <c r="Z150">
        <v>122.2</v>
      </c>
      <c r="AA150">
        <v>132.4</v>
      </c>
      <c r="AB150">
        <v>121.7</v>
      </c>
      <c r="AC150">
        <v>122.4</v>
      </c>
      <c r="AD150">
        <v>128.19999999999999</v>
      </c>
      <c r="AE150">
        <f t="shared" si="22"/>
        <v>132.1</v>
      </c>
      <c r="AF150">
        <f t="shared" si="23"/>
        <v>130.5</v>
      </c>
      <c r="AG150">
        <f t="shared" si="24"/>
        <v>132.4</v>
      </c>
      <c r="AH150">
        <f t="shared" si="25"/>
        <v>119.2</v>
      </c>
      <c r="AI150">
        <f t="shared" si="26"/>
        <v>122.9</v>
      </c>
      <c r="AJ150">
        <f t="shared" si="27"/>
        <v>115.5</v>
      </c>
      <c r="AK150">
        <f t="shared" si="28"/>
        <v>125.5</v>
      </c>
      <c r="AL150">
        <f t="shared" si="29"/>
        <v>122.2</v>
      </c>
      <c r="AM150">
        <f t="shared" si="30"/>
        <v>146.30000000000001</v>
      </c>
      <c r="AN150">
        <f t="shared" si="31"/>
        <v>123.85</v>
      </c>
      <c r="AO150">
        <f t="shared" si="32"/>
        <v>127.045</v>
      </c>
    </row>
    <row r="151" spans="1:41" hidden="1" x14ac:dyDescent="0.45">
      <c r="A151" t="s">
        <v>34</v>
      </c>
      <c r="B151">
        <v>2017</v>
      </c>
      <c r="C151" t="s">
        <v>35</v>
      </c>
      <c r="D151">
        <v>130.5</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127.9</v>
      </c>
      <c r="W151">
        <v>129.69999999999999</v>
      </c>
      <c r="X151">
        <v>127.4</v>
      </c>
      <c r="Y151">
        <v>117.4</v>
      </c>
      <c r="Z151">
        <v>124.6</v>
      </c>
      <c r="AA151">
        <v>133.4</v>
      </c>
      <c r="AB151">
        <v>122.6</v>
      </c>
      <c r="AC151">
        <v>124.8</v>
      </c>
      <c r="AD151">
        <v>130.6</v>
      </c>
      <c r="AE151">
        <f t="shared" si="22"/>
        <v>133</v>
      </c>
      <c r="AF151">
        <f t="shared" si="23"/>
        <v>130.5</v>
      </c>
      <c r="AG151">
        <f t="shared" si="24"/>
        <v>133.4</v>
      </c>
      <c r="AH151">
        <f t="shared" si="25"/>
        <v>127.9</v>
      </c>
      <c r="AI151">
        <f t="shared" si="26"/>
        <v>127.4</v>
      </c>
      <c r="AJ151">
        <f t="shared" si="27"/>
        <v>117.4</v>
      </c>
      <c r="AK151">
        <f t="shared" si="28"/>
        <v>129.25</v>
      </c>
      <c r="AL151">
        <f t="shared" si="29"/>
        <v>124.6</v>
      </c>
      <c r="AM151">
        <f t="shared" si="30"/>
        <v>144.4</v>
      </c>
      <c r="AN151">
        <f t="shared" si="31"/>
        <v>127.25</v>
      </c>
      <c r="AO151">
        <f t="shared" si="32"/>
        <v>129.51</v>
      </c>
    </row>
    <row r="152" spans="1:41" hidden="1" x14ac:dyDescent="0.45">
      <c r="A152" t="s">
        <v>30</v>
      </c>
      <c r="B152">
        <v>2017</v>
      </c>
      <c r="C152" t="s">
        <v>36</v>
      </c>
      <c r="D152" t="s">
        <v>32</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v>134.19999999999999</v>
      </c>
      <c r="W152">
        <v>134.1</v>
      </c>
      <c r="X152">
        <v>130.6</v>
      </c>
      <c r="Y152">
        <v>119.8</v>
      </c>
      <c r="Z152">
        <v>128.30000000000001</v>
      </c>
      <c r="AA152">
        <v>135.19999999999999</v>
      </c>
      <c r="AB152">
        <v>123.3</v>
      </c>
      <c r="AC152">
        <v>127.4</v>
      </c>
      <c r="AD152">
        <v>132.80000000000001</v>
      </c>
      <c r="AE152">
        <f t="shared" si="22"/>
        <v>133.4</v>
      </c>
      <c r="AF152" t="str">
        <f t="shared" si="23"/>
        <v>NA</v>
      </c>
      <c r="AG152">
        <f t="shared" si="24"/>
        <v>135.19999999999999</v>
      </c>
      <c r="AH152">
        <f t="shared" si="25"/>
        <v>134.19999999999999</v>
      </c>
      <c r="AI152">
        <f t="shared" si="26"/>
        <v>130.6</v>
      </c>
      <c r="AJ152">
        <f t="shared" si="27"/>
        <v>119.8</v>
      </c>
      <c r="AK152">
        <f t="shared" si="28"/>
        <v>132.05000000000001</v>
      </c>
      <c r="AL152">
        <f t="shared" si="29"/>
        <v>128.30000000000001</v>
      </c>
      <c r="AM152">
        <f t="shared" si="30"/>
        <v>144.19999999999999</v>
      </c>
      <c r="AN152">
        <f t="shared" si="31"/>
        <v>130.75</v>
      </c>
      <c r="AO152">
        <f t="shared" si="32"/>
        <v>132.05555555555554</v>
      </c>
    </row>
    <row r="153" spans="1:41" hidden="1" x14ac:dyDescent="0.45">
      <c r="A153" t="s">
        <v>33</v>
      </c>
      <c r="B153">
        <v>2017</v>
      </c>
      <c r="C153" t="s">
        <v>36</v>
      </c>
      <c r="D153">
        <v>131.1</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120.8</v>
      </c>
      <c r="W153">
        <v>125.6</v>
      </c>
      <c r="X153">
        <v>123.1</v>
      </c>
      <c r="Y153">
        <v>115.6</v>
      </c>
      <c r="Z153">
        <v>122.4</v>
      </c>
      <c r="AA153">
        <v>132.80000000000001</v>
      </c>
      <c r="AB153">
        <v>121.7</v>
      </c>
      <c r="AC153">
        <v>122.6</v>
      </c>
      <c r="AD153">
        <v>128.69999999999999</v>
      </c>
      <c r="AE153">
        <f t="shared" si="22"/>
        <v>132.6</v>
      </c>
      <c r="AF153">
        <f t="shared" si="23"/>
        <v>131.1</v>
      </c>
      <c r="AG153">
        <f t="shared" si="24"/>
        <v>132.80000000000001</v>
      </c>
      <c r="AH153">
        <f t="shared" si="25"/>
        <v>120.8</v>
      </c>
      <c r="AI153">
        <f t="shared" si="26"/>
        <v>123.1</v>
      </c>
      <c r="AJ153">
        <f t="shared" si="27"/>
        <v>115.6</v>
      </c>
      <c r="AK153">
        <f t="shared" si="28"/>
        <v>125.65</v>
      </c>
      <c r="AL153">
        <f t="shared" si="29"/>
        <v>122.4</v>
      </c>
      <c r="AM153">
        <f t="shared" si="30"/>
        <v>147.5</v>
      </c>
      <c r="AN153">
        <f t="shared" si="31"/>
        <v>124.1</v>
      </c>
      <c r="AO153">
        <f t="shared" si="32"/>
        <v>127.56499999999998</v>
      </c>
    </row>
    <row r="154" spans="1:41" hidden="1" x14ac:dyDescent="0.45">
      <c r="A154" t="s">
        <v>34</v>
      </c>
      <c r="B154">
        <v>2017</v>
      </c>
      <c r="C154" t="s">
        <v>36</v>
      </c>
      <c r="D154">
        <v>131.1</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129.1</v>
      </c>
      <c r="W154">
        <v>130.1</v>
      </c>
      <c r="X154">
        <v>127.8</v>
      </c>
      <c r="Y154">
        <v>117.6</v>
      </c>
      <c r="Z154">
        <v>125</v>
      </c>
      <c r="AA154">
        <v>133.80000000000001</v>
      </c>
      <c r="AB154">
        <v>122.6</v>
      </c>
      <c r="AC154">
        <v>125.1</v>
      </c>
      <c r="AD154">
        <v>130.9</v>
      </c>
      <c r="AE154">
        <f t="shared" si="22"/>
        <v>133.1</v>
      </c>
      <c r="AF154">
        <f t="shared" si="23"/>
        <v>131.1</v>
      </c>
      <c r="AG154">
        <f t="shared" si="24"/>
        <v>133.80000000000001</v>
      </c>
      <c r="AH154">
        <f t="shared" si="25"/>
        <v>129.1</v>
      </c>
      <c r="AI154">
        <f t="shared" si="26"/>
        <v>127.8</v>
      </c>
      <c r="AJ154">
        <f t="shared" si="27"/>
        <v>117.6</v>
      </c>
      <c r="AK154">
        <f t="shared" si="28"/>
        <v>129.5</v>
      </c>
      <c r="AL154">
        <f t="shared" si="29"/>
        <v>125</v>
      </c>
      <c r="AM154">
        <f t="shared" si="30"/>
        <v>145.1</v>
      </c>
      <c r="AN154">
        <f t="shared" si="31"/>
        <v>127.6</v>
      </c>
      <c r="AO154">
        <f t="shared" si="32"/>
        <v>129.96999999999997</v>
      </c>
    </row>
    <row r="155" spans="1:41" hidden="1" x14ac:dyDescent="0.45">
      <c r="A155" t="s">
        <v>30</v>
      </c>
      <c r="B155">
        <v>2017</v>
      </c>
      <c r="C155" t="s">
        <v>37</v>
      </c>
      <c r="D155" t="s">
        <v>32</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v>135</v>
      </c>
      <c r="W155">
        <v>134.30000000000001</v>
      </c>
      <c r="X155">
        <v>131</v>
      </c>
      <c r="Y155">
        <v>119.2</v>
      </c>
      <c r="Z155">
        <v>128.30000000000001</v>
      </c>
      <c r="AA155">
        <v>135.69999999999999</v>
      </c>
      <c r="AB155">
        <v>123.7</v>
      </c>
      <c r="AC155">
        <v>127.5</v>
      </c>
      <c r="AD155">
        <v>132.9</v>
      </c>
      <c r="AE155">
        <f t="shared" si="22"/>
        <v>133.5</v>
      </c>
      <c r="AF155" t="str">
        <f t="shared" si="23"/>
        <v>NA</v>
      </c>
      <c r="AG155">
        <f t="shared" si="24"/>
        <v>135.69999999999999</v>
      </c>
      <c r="AH155">
        <f t="shared" si="25"/>
        <v>135</v>
      </c>
      <c r="AI155">
        <f t="shared" si="26"/>
        <v>131</v>
      </c>
      <c r="AJ155">
        <f t="shared" si="27"/>
        <v>119.2</v>
      </c>
      <c r="AK155">
        <f t="shared" si="28"/>
        <v>132.65</v>
      </c>
      <c r="AL155">
        <f t="shared" si="29"/>
        <v>128.30000000000001</v>
      </c>
      <c r="AM155">
        <f t="shared" si="30"/>
        <v>144.4</v>
      </c>
      <c r="AN155">
        <f t="shared" si="31"/>
        <v>130.9</v>
      </c>
      <c r="AO155">
        <f t="shared" si="32"/>
        <v>132.29444444444448</v>
      </c>
    </row>
    <row r="156" spans="1:41" hidden="1" x14ac:dyDescent="0.45">
      <c r="A156" t="s">
        <v>33</v>
      </c>
      <c r="B156">
        <v>2017</v>
      </c>
      <c r="C156" t="s">
        <v>37</v>
      </c>
      <c r="D156">
        <v>131.69999999999999</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121.4</v>
      </c>
      <c r="W156">
        <v>126</v>
      </c>
      <c r="X156">
        <v>123.4</v>
      </c>
      <c r="Y156">
        <v>114.3</v>
      </c>
      <c r="Z156">
        <v>122.6</v>
      </c>
      <c r="AA156">
        <v>133.6</v>
      </c>
      <c r="AB156">
        <v>122.2</v>
      </c>
      <c r="AC156">
        <v>122.5</v>
      </c>
      <c r="AD156">
        <v>129.1</v>
      </c>
      <c r="AE156">
        <f t="shared" si="22"/>
        <v>133.4</v>
      </c>
      <c r="AF156">
        <f t="shared" si="23"/>
        <v>131.69999999999999</v>
      </c>
      <c r="AG156">
        <f t="shared" si="24"/>
        <v>133.6</v>
      </c>
      <c r="AH156">
        <f t="shared" si="25"/>
        <v>121.4</v>
      </c>
      <c r="AI156">
        <f t="shared" si="26"/>
        <v>123.4</v>
      </c>
      <c r="AJ156">
        <f t="shared" si="27"/>
        <v>114.3</v>
      </c>
      <c r="AK156">
        <f t="shared" si="28"/>
        <v>126.1</v>
      </c>
      <c r="AL156">
        <f t="shared" si="29"/>
        <v>122.6</v>
      </c>
      <c r="AM156">
        <f t="shared" si="30"/>
        <v>148</v>
      </c>
      <c r="AN156">
        <f t="shared" si="31"/>
        <v>124.25</v>
      </c>
      <c r="AO156">
        <f t="shared" si="32"/>
        <v>127.875</v>
      </c>
    </row>
    <row r="157" spans="1:41" hidden="1" x14ac:dyDescent="0.45">
      <c r="A157" t="s">
        <v>34</v>
      </c>
      <c r="B157">
        <v>2017</v>
      </c>
      <c r="C157" t="s">
        <v>37</v>
      </c>
      <c r="D157">
        <v>131.69999999999999</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129.80000000000001</v>
      </c>
      <c r="W157">
        <v>130.4</v>
      </c>
      <c r="X157">
        <v>128.1</v>
      </c>
      <c r="Y157">
        <v>116.6</v>
      </c>
      <c r="Z157">
        <v>125.1</v>
      </c>
      <c r="AA157">
        <v>134.5</v>
      </c>
      <c r="AB157">
        <v>123.1</v>
      </c>
      <c r="AC157">
        <v>125.1</v>
      </c>
      <c r="AD157">
        <v>131.1</v>
      </c>
      <c r="AE157">
        <f t="shared" si="22"/>
        <v>133.5</v>
      </c>
      <c r="AF157">
        <f t="shared" si="23"/>
        <v>131.69999999999999</v>
      </c>
      <c r="AG157">
        <f t="shared" si="24"/>
        <v>134.5</v>
      </c>
      <c r="AH157">
        <f t="shared" si="25"/>
        <v>129.80000000000001</v>
      </c>
      <c r="AI157">
        <f t="shared" si="26"/>
        <v>128.1</v>
      </c>
      <c r="AJ157">
        <f t="shared" si="27"/>
        <v>116.6</v>
      </c>
      <c r="AK157">
        <f t="shared" si="28"/>
        <v>130.05000000000001</v>
      </c>
      <c r="AL157">
        <f t="shared" si="29"/>
        <v>125.1</v>
      </c>
      <c r="AM157">
        <f t="shared" si="30"/>
        <v>145.4</v>
      </c>
      <c r="AN157">
        <f t="shared" si="31"/>
        <v>127.75</v>
      </c>
      <c r="AO157">
        <f t="shared" si="32"/>
        <v>130.25</v>
      </c>
    </row>
    <row r="158" spans="1:41" hidden="1" x14ac:dyDescent="0.45">
      <c r="A158" t="s">
        <v>30</v>
      </c>
      <c r="B158">
        <v>2017</v>
      </c>
      <c r="C158" t="s">
        <v>38</v>
      </c>
      <c r="D158" t="s">
        <v>32</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v>135</v>
      </c>
      <c r="W158">
        <v>134.9</v>
      </c>
      <c r="X158">
        <v>131.4</v>
      </c>
      <c r="Y158">
        <v>119.4</v>
      </c>
      <c r="Z158">
        <v>129.4</v>
      </c>
      <c r="AA158">
        <v>136.30000000000001</v>
      </c>
      <c r="AB158">
        <v>123.7</v>
      </c>
      <c r="AC158">
        <v>127.9</v>
      </c>
      <c r="AD158">
        <v>133.30000000000001</v>
      </c>
      <c r="AE158">
        <f t="shared" si="22"/>
        <v>133.80000000000001</v>
      </c>
      <c r="AF158" t="str">
        <f t="shared" si="23"/>
        <v>NA</v>
      </c>
      <c r="AG158">
        <f t="shared" si="24"/>
        <v>136.30000000000001</v>
      </c>
      <c r="AH158">
        <f t="shared" si="25"/>
        <v>135</v>
      </c>
      <c r="AI158">
        <f t="shared" si="26"/>
        <v>131.4</v>
      </c>
      <c r="AJ158">
        <f t="shared" si="27"/>
        <v>119.4</v>
      </c>
      <c r="AK158">
        <f t="shared" si="28"/>
        <v>132.75</v>
      </c>
      <c r="AL158">
        <f t="shared" si="29"/>
        <v>129.4</v>
      </c>
      <c r="AM158">
        <f t="shared" si="30"/>
        <v>145.5</v>
      </c>
      <c r="AN158">
        <f t="shared" si="31"/>
        <v>131.4</v>
      </c>
      <c r="AO158">
        <f t="shared" si="32"/>
        <v>132.77222222222224</v>
      </c>
    </row>
    <row r="159" spans="1:41" hidden="1" x14ac:dyDescent="0.45">
      <c r="A159" t="s">
        <v>33</v>
      </c>
      <c r="B159">
        <v>2017</v>
      </c>
      <c r="C159" t="s">
        <v>38</v>
      </c>
      <c r="D159">
        <v>132.1</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120.1</v>
      </c>
      <c r="W159">
        <v>126.5</v>
      </c>
      <c r="X159">
        <v>123.6</v>
      </c>
      <c r="Y159">
        <v>114.3</v>
      </c>
      <c r="Z159">
        <v>122.8</v>
      </c>
      <c r="AA159">
        <v>133.80000000000001</v>
      </c>
      <c r="AB159">
        <v>122</v>
      </c>
      <c r="AC159">
        <v>122.6</v>
      </c>
      <c r="AD159">
        <v>129.30000000000001</v>
      </c>
      <c r="AE159">
        <f t="shared" si="22"/>
        <v>133.6</v>
      </c>
      <c r="AF159">
        <f t="shared" si="23"/>
        <v>132.1</v>
      </c>
      <c r="AG159">
        <f t="shared" si="24"/>
        <v>133.80000000000001</v>
      </c>
      <c r="AH159">
        <f t="shared" si="25"/>
        <v>120.1</v>
      </c>
      <c r="AI159">
        <f t="shared" si="26"/>
        <v>123.6</v>
      </c>
      <c r="AJ159">
        <f t="shared" si="27"/>
        <v>114.3</v>
      </c>
      <c r="AK159">
        <f t="shared" si="28"/>
        <v>126.1</v>
      </c>
      <c r="AL159">
        <f t="shared" si="29"/>
        <v>122.8</v>
      </c>
      <c r="AM159">
        <f t="shared" si="30"/>
        <v>148.30000000000001</v>
      </c>
      <c r="AN159">
        <f t="shared" si="31"/>
        <v>124.55</v>
      </c>
      <c r="AO159">
        <f t="shared" si="32"/>
        <v>127.925</v>
      </c>
    </row>
    <row r="160" spans="1:41" hidden="1" x14ac:dyDescent="0.45">
      <c r="A160" t="s">
        <v>34</v>
      </c>
      <c r="B160">
        <v>2017</v>
      </c>
      <c r="C160" t="s">
        <v>38</v>
      </c>
      <c r="D160">
        <v>132.1</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129.4</v>
      </c>
      <c r="W160">
        <v>130.9</v>
      </c>
      <c r="X160">
        <v>128.4</v>
      </c>
      <c r="Y160">
        <v>116.7</v>
      </c>
      <c r="Z160">
        <v>125.7</v>
      </c>
      <c r="AA160">
        <v>134.80000000000001</v>
      </c>
      <c r="AB160">
        <v>123</v>
      </c>
      <c r="AC160">
        <v>125.3</v>
      </c>
      <c r="AD160">
        <v>131.4</v>
      </c>
      <c r="AE160">
        <f t="shared" si="22"/>
        <v>133.69999999999999</v>
      </c>
      <c r="AF160">
        <f t="shared" si="23"/>
        <v>132.1</v>
      </c>
      <c r="AG160">
        <f t="shared" si="24"/>
        <v>134.80000000000001</v>
      </c>
      <c r="AH160">
        <f t="shared" si="25"/>
        <v>129.4</v>
      </c>
      <c r="AI160">
        <f t="shared" si="26"/>
        <v>128.4</v>
      </c>
      <c r="AJ160">
        <f t="shared" si="27"/>
        <v>116.7</v>
      </c>
      <c r="AK160">
        <f t="shared" si="28"/>
        <v>130.1</v>
      </c>
      <c r="AL160">
        <f t="shared" si="29"/>
        <v>125.7</v>
      </c>
      <c r="AM160">
        <f t="shared" si="30"/>
        <v>146.19999999999999</v>
      </c>
      <c r="AN160">
        <f t="shared" si="31"/>
        <v>128.1</v>
      </c>
      <c r="AO160">
        <f t="shared" si="32"/>
        <v>130.52000000000001</v>
      </c>
    </row>
    <row r="161" spans="1:41" hidden="1" x14ac:dyDescent="0.45">
      <c r="A161" t="s">
        <v>30</v>
      </c>
      <c r="B161">
        <v>2017</v>
      </c>
      <c r="C161" t="s">
        <v>39</v>
      </c>
      <c r="D161" t="s">
        <v>32</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v>134.80000000000001</v>
      </c>
      <c r="W161">
        <v>135.19999999999999</v>
      </c>
      <c r="X161">
        <v>131.30000000000001</v>
      </c>
      <c r="Y161">
        <v>119.4</v>
      </c>
      <c r="Z161">
        <v>129.80000000000001</v>
      </c>
      <c r="AA161">
        <v>136.9</v>
      </c>
      <c r="AB161">
        <v>124.1</v>
      </c>
      <c r="AC161">
        <v>128.1</v>
      </c>
      <c r="AD161">
        <v>133.9</v>
      </c>
      <c r="AE161">
        <f t="shared" si="22"/>
        <v>134.9</v>
      </c>
      <c r="AF161" t="str">
        <f t="shared" si="23"/>
        <v>NA</v>
      </c>
      <c r="AG161">
        <f t="shared" si="24"/>
        <v>136.9</v>
      </c>
      <c r="AH161">
        <f t="shared" si="25"/>
        <v>134.80000000000001</v>
      </c>
      <c r="AI161">
        <f t="shared" si="26"/>
        <v>131.30000000000001</v>
      </c>
      <c r="AJ161">
        <f t="shared" si="27"/>
        <v>119.4</v>
      </c>
      <c r="AK161">
        <f t="shared" si="28"/>
        <v>133.19999999999999</v>
      </c>
      <c r="AL161">
        <f t="shared" si="29"/>
        <v>129.80000000000001</v>
      </c>
      <c r="AM161">
        <f t="shared" si="30"/>
        <v>145.80000000000001</v>
      </c>
      <c r="AN161">
        <f t="shared" si="31"/>
        <v>131.64999999999998</v>
      </c>
      <c r="AO161">
        <f t="shared" si="32"/>
        <v>133.08333333333334</v>
      </c>
    </row>
    <row r="162" spans="1:41" hidden="1" x14ac:dyDescent="0.45">
      <c r="A162" t="s">
        <v>33</v>
      </c>
      <c r="B162">
        <v>2017</v>
      </c>
      <c r="C162" t="s">
        <v>39</v>
      </c>
      <c r="D162">
        <v>131.4</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119</v>
      </c>
      <c r="W162">
        <v>126.8</v>
      </c>
      <c r="X162">
        <v>123.8</v>
      </c>
      <c r="Y162">
        <v>113.9</v>
      </c>
      <c r="Z162">
        <v>122.9</v>
      </c>
      <c r="AA162">
        <v>134.30000000000001</v>
      </c>
      <c r="AB162">
        <v>122.5</v>
      </c>
      <c r="AC162">
        <v>122.7</v>
      </c>
      <c r="AD162">
        <v>129.9</v>
      </c>
      <c r="AE162">
        <f t="shared" si="22"/>
        <v>135.69999999999999</v>
      </c>
      <c r="AF162">
        <f t="shared" si="23"/>
        <v>131.4</v>
      </c>
      <c r="AG162">
        <f t="shared" si="24"/>
        <v>134.30000000000001</v>
      </c>
      <c r="AH162">
        <f t="shared" si="25"/>
        <v>119</v>
      </c>
      <c r="AI162">
        <f t="shared" si="26"/>
        <v>123.8</v>
      </c>
      <c r="AJ162">
        <f t="shared" si="27"/>
        <v>113.9</v>
      </c>
      <c r="AK162">
        <f t="shared" si="28"/>
        <v>126.35</v>
      </c>
      <c r="AL162">
        <f t="shared" si="29"/>
        <v>122.9</v>
      </c>
      <c r="AM162">
        <f t="shared" si="30"/>
        <v>148.6</v>
      </c>
      <c r="AN162">
        <f t="shared" si="31"/>
        <v>124.75</v>
      </c>
      <c r="AO162">
        <f t="shared" si="32"/>
        <v>128.07</v>
      </c>
    </row>
    <row r="163" spans="1:41" hidden="1" x14ac:dyDescent="0.45">
      <c r="A163" t="s">
        <v>34</v>
      </c>
      <c r="B163">
        <v>2017</v>
      </c>
      <c r="C163" t="s">
        <v>39</v>
      </c>
      <c r="D163">
        <v>131.4</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128.80000000000001</v>
      </c>
      <c r="W163">
        <v>131.19999999999999</v>
      </c>
      <c r="X163">
        <v>128.5</v>
      </c>
      <c r="Y163">
        <v>116.5</v>
      </c>
      <c r="Z163">
        <v>125.9</v>
      </c>
      <c r="AA163">
        <v>135.4</v>
      </c>
      <c r="AB163">
        <v>123.4</v>
      </c>
      <c r="AC163">
        <v>125.5</v>
      </c>
      <c r="AD163">
        <v>132</v>
      </c>
      <c r="AE163">
        <f t="shared" si="22"/>
        <v>135.19999999999999</v>
      </c>
      <c r="AF163">
        <f t="shared" si="23"/>
        <v>131.4</v>
      </c>
      <c r="AG163">
        <f t="shared" si="24"/>
        <v>135.4</v>
      </c>
      <c r="AH163">
        <f t="shared" si="25"/>
        <v>128.80000000000001</v>
      </c>
      <c r="AI163">
        <f t="shared" si="26"/>
        <v>128.5</v>
      </c>
      <c r="AJ163">
        <f t="shared" si="27"/>
        <v>116.5</v>
      </c>
      <c r="AK163">
        <f t="shared" si="28"/>
        <v>130.44999999999999</v>
      </c>
      <c r="AL163">
        <f t="shared" si="29"/>
        <v>125.9</v>
      </c>
      <c r="AM163">
        <f t="shared" si="30"/>
        <v>146.5</v>
      </c>
      <c r="AN163">
        <f t="shared" si="31"/>
        <v>128.35</v>
      </c>
      <c r="AO163">
        <f t="shared" si="32"/>
        <v>130.69999999999999</v>
      </c>
    </row>
    <row r="164" spans="1:41" hidden="1" x14ac:dyDescent="0.45">
      <c r="A164" t="s">
        <v>30</v>
      </c>
      <c r="B164">
        <v>2017</v>
      </c>
      <c r="C164" t="s">
        <v>40</v>
      </c>
      <c r="D164" t="s">
        <v>32</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v>135.30000000000001</v>
      </c>
      <c r="W164">
        <v>136.1</v>
      </c>
      <c r="X164">
        <v>132.1</v>
      </c>
      <c r="Y164">
        <v>119.1</v>
      </c>
      <c r="Z164">
        <v>130.6</v>
      </c>
      <c r="AA164">
        <v>138.6</v>
      </c>
      <c r="AB164">
        <v>124.4</v>
      </c>
      <c r="AC164">
        <v>128.6</v>
      </c>
      <c r="AD164">
        <v>136.19999999999999</v>
      </c>
      <c r="AE164">
        <f t="shared" si="22"/>
        <v>138.5</v>
      </c>
      <c r="AF164" t="str">
        <f t="shared" si="23"/>
        <v>NA</v>
      </c>
      <c r="AG164">
        <f t="shared" si="24"/>
        <v>138.6</v>
      </c>
      <c r="AH164">
        <f t="shared" si="25"/>
        <v>135.30000000000001</v>
      </c>
      <c r="AI164">
        <f t="shared" si="26"/>
        <v>132.1</v>
      </c>
      <c r="AJ164">
        <f t="shared" si="27"/>
        <v>119.1</v>
      </c>
      <c r="AK164">
        <f t="shared" si="28"/>
        <v>133.94999999999999</v>
      </c>
      <c r="AL164">
        <f t="shared" si="29"/>
        <v>130.6</v>
      </c>
      <c r="AM164">
        <f t="shared" si="30"/>
        <v>147.4</v>
      </c>
      <c r="AN164">
        <f t="shared" si="31"/>
        <v>132.35</v>
      </c>
      <c r="AO164">
        <f t="shared" si="32"/>
        <v>134.21111111111111</v>
      </c>
    </row>
    <row r="165" spans="1:41" hidden="1" x14ac:dyDescent="0.45">
      <c r="A165" t="s">
        <v>33</v>
      </c>
      <c r="B165">
        <v>2017</v>
      </c>
      <c r="C165" t="s">
        <v>40</v>
      </c>
      <c r="D165">
        <v>132.6</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119.7</v>
      </c>
      <c r="W165">
        <v>127.2</v>
      </c>
      <c r="X165">
        <v>125</v>
      </c>
      <c r="Y165">
        <v>113.2</v>
      </c>
      <c r="Z165">
        <v>123.5</v>
      </c>
      <c r="AA165">
        <v>135.5</v>
      </c>
      <c r="AB165">
        <v>122.4</v>
      </c>
      <c r="AC165">
        <v>123</v>
      </c>
      <c r="AD165">
        <v>131.80000000000001</v>
      </c>
      <c r="AE165">
        <f t="shared" si="22"/>
        <v>139.80000000000001</v>
      </c>
      <c r="AF165">
        <f t="shared" si="23"/>
        <v>132.6</v>
      </c>
      <c r="AG165">
        <f t="shared" si="24"/>
        <v>135.5</v>
      </c>
      <c r="AH165">
        <f t="shared" si="25"/>
        <v>119.7</v>
      </c>
      <c r="AI165">
        <f t="shared" si="26"/>
        <v>125</v>
      </c>
      <c r="AJ165">
        <f t="shared" si="27"/>
        <v>113.2</v>
      </c>
      <c r="AK165">
        <f t="shared" si="28"/>
        <v>126.4</v>
      </c>
      <c r="AL165">
        <f t="shared" si="29"/>
        <v>123.5</v>
      </c>
      <c r="AM165">
        <f t="shared" si="30"/>
        <v>150.5</v>
      </c>
      <c r="AN165">
        <f t="shared" si="31"/>
        <v>125.1</v>
      </c>
      <c r="AO165">
        <f t="shared" si="32"/>
        <v>129.13</v>
      </c>
    </row>
    <row r="166" spans="1:41" hidden="1" x14ac:dyDescent="0.45">
      <c r="A166" t="s">
        <v>34</v>
      </c>
      <c r="B166">
        <v>2017</v>
      </c>
      <c r="C166" t="s">
        <v>40</v>
      </c>
      <c r="D166">
        <v>132.6</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129.4</v>
      </c>
      <c r="W166">
        <v>131.9</v>
      </c>
      <c r="X166">
        <v>129.4</v>
      </c>
      <c r="Y166">
        <v>116</v>
      </c>
      <c r="Z166">
        <v>126.6</v>
      </c>
      <c r="AA166">
        <v>136.80000000000001</v>
      </c>
      <c r="AB166">
        <v>123.6</v>
      </c>
      <c r="AC166">
        <v>125.9</v>
      </c>
      <c r="AD166">
        <v>134.19999999999999</v>
      </c>
      <c r="AE166">
        <f t="shared" si="22"/>
        <v>139</v>
      </c>
      <c r="AF166">
        <f t="shared" si="23"/>
        <v>132.6</v>
      </c>
      <c r="AG166">
        <f t="shared" si="24"/>
        <v>136.80000000000001</v>
      </c>
      <c r="AH166">
        <f t="shared" si="25"/>
        <v>129.4</v>
      </c>
      <c r="AI166">
        <f t="shared" si="26"/>
        <v>129.4</v>
      </c>
      <c r="AJ166">
        <f t="shared" si="27"/>
        <v>116</v>
      </c>
      <c r="AK166">
        <f t="shared" si="28"/>
        <v>130.94999999999999</v>
      </c>
      <c r="AL166">
        <f t="shared" si="29"/>
        <v>126.6</v>
      </c>
      <c r="AM166">
        <f t="shared" si="30"/>
        <v>148.19999999999999</v>
      </c>
      <c r="AN166">
        <f t="shared" si="31"/>
        <v>128.9</v>
      </c>
      <c r="AO166">
        <f t="shared" si="32"/>
        <v>131.78500000000003</v>
      </c>
    </row>
    <row r="167" spans="1:41" hidden="1" x14ac:dyDescent="0.45">
      <c r="A167" t="s">
        <v>30</v>
      </c>
      <c r="B167">
        <v>2017</v>
      </c>
      <c r="C167" t="s">
        <v>41</v>
      </c>
      <c r="D167" t="s">
        <v>32</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v>136.4</v>
      </c>
      <c r="W167">
        <v>137.30000000000001</v>
      </c>
      <c r="X167">
        <v>133</v>
      </c>
      <c r="Y167">
        <v>120.3</v>
      </c>
      <c r="Z167">
        <v>131.5</v>
      </c>
      <c r="AA167">
        <v>140.19999999999999</v>
      </c>
      <c r="AB167">
        <v>125.4</v>
      </c>
      <c r="AC167">
        <v>129.69999999999999</v>
      </c>
      <c r="AD167">
        <v>137.80000000000001</v>
      </c>
      <c r="AE167">
        <f t="shared" si="22"/>
        <v>140.6</v>
      </c>
      <c r="AF167" t="str">
        <f t="shared" si="23"/>
        <v>NA</v>
      </c>
      <c r="AG167">
        <f t="shared" si="24"/>
        <v>140.19999999999999</v>
      </c>
      <c r="AH167">
        <f t="shared" si="25"/>
        <v>136.4</v>
      </c>
      <c r="AI167">
        <f t="shared" si="26"/>
        <v>133</v>
      </c>
      <c r="AJ167">
        <f t="shared" si="27"/>
        <v>120.3</v>
      </c>
      <c r="AK167">
        <f t="shared" si="28"/>
        <v>134.94999999999999</v>
      </c>
      <c r="AL167">
        <f t="shared" si="29"/>
        <v>131.5</v>
      </c>
      <c r="AM167">
        <f t="shared" si="30"/>
        <v>149</v>
      </c>
      <c r="AN167">
        <f t="shared" si="31"/>
        <v>133.5</v>
      </c>
      <c r="AO167">
        <f t="shared" si="32"/>
        <v>135.49444444444441</v>
      </c>
    </row>
    <row r="168" spans="1:41" hidden="1" x14ac:dyDescent="0.45">
      <c r="A168" t="s">
        <v>33</v>
      </c>
      <c r="B168">
        <v>2017</v>
      </c>
      <c r="C168" t="s">
        <v>41</v>
      </c>
      <c r="D168">
        <v>134.4</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118.9</v>
      </c>
      <c r="W168">
        <v>127.7</v>
      </c>
      <c r="X168">
        <v>125.7</v>
      </c>
      <c r="Y168">
        <v>114.6</v>
      </c>
      <c r="Z168">
        <v>124.1</v>
      </c>
      <c r="AA168">
        <v>135.69999999999999</v>
      </c>
      <c r="AB168">
        <v>123.3</v>
      </c>
      <c r="AC168">
        <v>123.8</v>
      </c>
      <c r="AD168">
        <v>132.69999999999999</v>
      </c>
      <c r="AE168">
        <f t="shared" si="22"/>
        <v>140.5</v>
      </c>
      <c r="AF168">
        <f t="shared" si="23"/>
        <v>134.4</v>
      </c>
      <c r="AG168">
        <f t="shared" si="24"/>
        <v>135.69999999999999</v>
      </c>
      <c r="AH168">
        <f t="shared" si="25"/>
        <v>118.9</v>
      </c>
      <c r="AI168">
        <f t="shared" si="26"/>
        <v>125.7</v>
      </c>
      <c r="AJ168">
        <f t="shared" si="27"/>
        <v>114.6</v>
      </c>
      <c r="AK168">
        <f t="shared" si="28"/>
        <v>127.35</v>
      </c>
      <c r="AL168">
        <f t="shared" si="29"/>
        <v>124.1</v>
      </c>
      <c r="AM168">
        <f t="shared" si="30"/>
        <v>152.1</v>
      </c>
      <c r="AN168">
        <f t="shared" si="31"/>
        <v>125.75</v>
      </c>
      <c r="AO168">
        <f t="shared" si="32"/>
        <v>129.91000000000003</v>
      </c>
    </row>
    <row r="169" spans="1:41" hidden="1" x14ac:dyDescent="0.45">
      <c r="A169" t="s">
        <v>34</v>
      </c>
      <c r="B169">
        <v>2017</v>
      </c>
      <c r="C169" t="s">
        <v>41</v>
      </c>
      <c r="D169">
        <v>134.4</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129.80000000000001</v>
      </c>
      <c r="W169">
        <v>132.80000000000001</v>
      </c>
      <c r="X169">
        <v>130.19999999999999</v>
      </c>
      <c r="Y169">
        <v>117.3</v>
      </c>
      <c r="Z169">
        <v>127.3</v>
      </c>
      <c r="AA169">
        <v>137.6</v>
      </c>
      <c r="AB169">
        <v>124.5</v>
      </c>
      <c r="AC169">
        <v>126.8</v>
      </c>
      <c r="AD169">
        <v>135.4</v>
      </c>
      <c r="AE169">
        <f t="shared" si="22"/>
        <v>140.6</v>
      </c>
      <c r="AF169">
        <f t="shared" si="23"/>
        <v>134.4</v>
      </c>
      <c r="AG169">
        <f t="shared" si="24"/>
        <v>137.6</v>
      </c>
      <c r="AH169">
        <f t="shared" si="25"/>
        <v>129.80000000000001</v>
      </c>
      <c r="AI169">
        <f t="shared" si="26"/>
        <v>130.19999999999999</v>
      </c>
      <c r="AJ169">
        <f t="shared" si="27"/>
        <v>117.3</v>
      </c>
      <c r="AK169">
        <f t="shared" si="28"/>
        <v>131.9</v>
      </c>
      <c r="AL169">
        <f t="shared" si="29"/>
        <v>127.3</v>
      </c>
      <c r="AM169">
        <f t="shared" si="30"/>
        <v>149.80000000000001</v>
      </c>
      <c r="AN169">
        <f t="shared" si="31"/>
        <v>129.80000000000001</v>
      </c>
      <c r="AO169">
        <f t="shared" si="32"/>
        <v>132.87</v>
      </c>
    </row>
    <row r="170" spans="1:41" hidden="1" x14ac:dyDescent="0.45">
      <c r="A170" t="s">
        <v>30</v>
      </c>
      <c r="B170">
        <v>2017</v>
      </c>
      <c r="C170" t="s">
        <v>42</v>
      </c>
      <c r="D170" t="s">
        <v>32</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v>137.4</v>
      </c>
      <c r="W170">
        <v>137.9</v>
      </c>
      <c r="X170">
        <v>133.4</v>
      </c>
      <c r="Y170">
        <v>121.2</v>
      </c>
      <c r="Z170">
        <v>132.30000000000001</v>
      </c>
      <c r="AA170">
        <v>139.6</v>
      </c>
      <c r="AB170">
        <v>126.7</v>
      </c>
      <c r="AC170">
        <v>130.30000000000001</v>
      </c>
      <c r="AD170">
        <v>137.6</v>
      </c>
      <c r="AE170">
        <f t="shared" si="22"/>
        <v>139.6</v>
      </c>
      <c r="AF170" t="str">
        <f t="shared" si="23"/>
        <v>NA</v>
      </c>
      <c r="AG170">
        <f t="shared" si="24"/>
        <v>139.6</v>
      </c>
      <c r="AH170">
        <f t="shared" si="25"/>
        <v>137.4</v>
      </c>
      <c r="AI170">
        <f t="shared" si="26"/>
        <v>133.4</v>
      </c>
      <c r="AJ170">
        <f t="shared" si="27"/>
        <v>121.2</v>
      </c>
      <c r="AK170">
        <f t="shared" si="28"/>
        <v>135.94999999999999</v>
      </c>
      <c r="AL170">
        <f t="shared" si="29"/>
        <v>132.30000000000001</v>
      </c>
      <c r="AM170">
        <f t="shared" si="30"/>
        <v>149.80000000000001</v>
      </c>
      <c r="AN170">
        <f t="shared" si="31"/>
        <v>134.10000000000002</v>
      </c>
      <c r="AO170">
        <f t="shared" si="32"/>
        <v>135.92777777777778</v>
      </c>
    </row>
    <row r="171" spans="1:41" hidden="1" x14ac:dyDescent="0.45">
      <c r="A171" t="s">
        <v>33</v>
      </c>
      <c r="B171">
        <v>2017</v>
      </c>
      <c r="C171" t="s">
        <v>42</v>
      </c>
      <c r="D171">
        <v>135.69999999999999</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120.6</v>
      </c>
      <c r="W171">
        <v>128.1</v>
      </c>
      <c r="X171">
        <v>126.1</v>
      </c>
      <c r="Y171">
        <v>115.7</v>
      </c>
      <c r="Z171">
        <v>124.5</v>
      </c>
      <c r="AA171">
        <v>135.9</v>
      </c>
      <c r="AB171">
        <v>124.4</v>
      </c>
      <c r="AC171">
        <v>124.5</v>
      </c>
      <c r="AD171">
        <v>132.4</v>
      </c>
      <c r="AE171">
        <f t="shared" si="22"/>
        <v>138</v>
      </c>
      <c r="AF171">
        <f t="shared" si="23"/>
        <v>135.69999999999999</v>
      </c>
      <c r="AG171">
        <f t="shared" si="24"/>
        <v>135.9</v>
      </c>
      <c r="AH171">
        <f t="shared" si="25"/>
        <v>120.6</v>
      </c>
      <c r="AI171">
        <f t="shared" si="26"/>
        <v>126.1</v>
      </c>
      <c r="AJ171">
        <f t="shared" si="27"/>
        <v>115.7</v>
      </c>
      <c r="AK171">
        <f t="shared" si="28"/>
        <v>128.19999999999999</v>
      </c>
      <c r="AL171">
        <f t="shared" si="29"/>
        <v>124.5</v>
      </c>
      <c r="AM171">
        <f t="shared" si="30"/>
        <v>153.6</v>
      </c>
      <c r="AN171">
        <f t="shared" si="31"/>
        <v>126.3</v>
      </c>
      <c r="AO171">
        <f t="shared" si="32"/>
        <v>130.45999999999998</v>
      </c>
    </row>
    <row r="172" spans="1:41" hidden="1" x14ac:dyDescent="0.45">
      <c r="A172" t="s">
        <v>34</v>
      </c>
      <c r="B172">
        <v>2017</v>
      </c>
      <c r="C172" t="s">
        <v>42</v>
      </c>
      <c r="D172">
        <v>135.69999999999999</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131</v>
      </c>
      <c r="W172">
        <v>133.30000000000001</v>
      </c>
      <c r="X172">
        <v>130.6</v>
      </c>
      <c r="Y172">
        <v>118.3</v>
      </c>
      <c r="Z172">
        <v>127.9</v>
      </c>
      <c r="AA172">
        <v>137.4</v>
      </c>
      <c r="AB172">
        <v>125.7</v>
      </c>
      <c r="AC172">
        <v>127.5</v>
      </c>
      <c r="AD172">
        <v>135.19999999999999</v>
      </c>
      <c r="AE172">
        <f t="shared" si="22"/>
        <v>139</v>
      </c>
      <c r="AF172">
        <f t="shared" si="23"/>
        <v>135.69999999999999</v>
      </c>
      <c r="AG172">
        <f t="shared" si="24"/>
        <v>137.4</v>
      </c>
      <c r="AH172">
        <f t="shared" si="25"/>
        <v>131</v>
      </c>
      <c r="AI172">
        <f t="shared" si="26"/>
        <v>130.6</v>
      </c>
      <c r="AJ172">
        <f t="shared" si="27"/>
        <v>118.3</v>
      </c>
      <c r="AK172">
        <f t="shared" si="28"/>
        <v>132.85</v>
      </c>
      <c r="AL172">
        <f t="shared" si="29"/>
        <v>127.9</v>
      </c>
      <c r="AM172">
        <f t="shared" si="30"/>
        <v>150.80000000000001</v>
      </c>
      <c r="AN172">
        <f t="shared" si="31"/>
        <v>130.4</v>
      </c>
      <c r="AO172">
        <f t="shared" si="32"/>
        <v>133.39500000000001</v>
      </c>
    </row>
    <row r="173" spans="1:41" hidden="1" x14ac:dyDescent="0.45">
      <c r="A173" t="s">
        <v>30</v>
      </c>
      <c r="B173">
        <v>2017</v>
      </c>
      <c r="C173" t="s">
        <v>43</v>
      </c>
      <c r="D173" t="s">
        <v>32</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v>138.1</v>
      </c>
      <c r="W173">
        <v>138.4</v>
      </c>
      <c r="X173">
        <v>134.19999999999999</v>
      </c>
      <c r="Y173">
        <v>121</v>
      </c>
      <c r="Z173">
        <v>133</v>
      </c>
      <c r="AA173">
        <v>140.1</v>
      </c>
      <c r="AB173">
        <v>127.4</v>
      </c>
      <c r="AC173">
        <v>130.69999999999999</v>
      </c>
      <c r="AD173">
        <v>138.30000000000001</v>
      </c>
      <c r="AE173">
        <f t="shared" si="22"/>
        <v>140.4</v>
      </c>
      <c r="AF173" t="str">
        <f t="shared" si="23"/>
        <v>NA</v>
      </c>
      <c r="AG173">
        <f t="shared" si="24"/>
        <v>140.1</v>
      </c>
      <c r="AH173">
        <f t="shared" si="25"/>
        <v>138.1</v>
      </c>
      <c r="AI173">
        <f t="shared" si="26"/>
        <v>134.19999999999999</v>
      </c>
      <c r="AJ173">
        <f t="shared" si="27"/>
        <v>121</v>
      </c>
      <c r="AK173">
        <f t="shared" si="28"/>
        <v>136.80000000000001</v>
      </c>
      <c r="AL173">
        <f t="shared" si="29"/>
        <v>133</v>
      </c>
      <c r="AM173">
        <f t="shared" si="30"/>
        <v>150.5</v>
      </c>
      <c r="AN173">
        <f t="shared" si="31"/>
        <v>134.55000000000001</v>
      </c>
      <c r="AO173">
        <f t="shared" si="32"/>
        <v>136.51666666666665</v>
      </c>
    </row>
    <row r="174" spans="1:41" hidden="1" x14ac:dyDescent="0.45">
      <c r="A174" t="s">
        <v>33</v>
      </c>
      <c r="B174">
        <v>2017</v>
      </c>
      <c r="C174" t="s">
        <v>43</v>
      </c>
      <c r="D174">
        <v>137.30000000000001</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122.6</v>
      </c>
      <c r="W174">
        <v>128.30000000000001</v>
      </c>
      <c r="X174">
        <v>126.6</v>
      </c>
      <c r="Y174">
        <v>115</v>
      </c>
      <c r="Z174">
        <v>124.8</v>
      </c>
      <c r="AA174">
        <v>136.30000000000001</v>
      </c>
      <c r="AB174">
        <v>124.6</v>
      </c>
      <c r="AC174">
        <v>124.5</v>
      </c>
      <c r="AD174">
        <v>133.5</v>
      </c>
      <c r="AE174">
        <f t="shared" si="22"/>
        <v>139.69999999999999</v>
      </c>
      <c r="AF174">
        <f t="shared" si="23"/>
        <v>137.30000000000001</v>
      </c>
      <c r="AG174">
        <f t="shared" si="24"/>
        <v>136.30000000000001</v>
      </c>
      <c r="AH174">
        <f t="shared" si="25"/>
        <v>122.6</v>
      </c>
      <c r="AI174">
        <f t="shared" si="26"/>
        <v>126.6</v>
      </c>
      <c r="AJ174">
        <f t="shared" si="27"/>
        <v>115</v>
      </c>
      <c r="AK174">
        <f t="shared" si="28"/>
        <v>128.6</v>
      </c>
      <c r="AL174">
        <f t="shared" si="29"/>
        <v>124.8</v>
      </c>
      <c r="AM174">
        <f t="shared" si="30"/>
        <v>154.6</v>
      </c>
      <c r="AN174">
        <f t="shared" si="31"/>
        <v>126.4</v>
      </c>
      <c r="AO174">
        <f t="shared" si="32"/>
        <v>131.19</v>
      </c>
    </row>
    <row r="175" spans="1:41" hidden="1" x14ac:dyDescent="0.45">
      <c r="A175" t="s">
        <v>34</v>
      </c>
      <c r="B175">
        <v>2017</v>
      </c>
      <c r="C175" t="s">
        <v>43</v>
      </c>
      <c r="D175">
        <v>137.30000000000001</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132.19999999999999</v>
      </c>
      <c r="W175">
        <v>133.6</v>
      </c>
      <c r="X175">
        <v>131.30000000000001</v>
      </c>
      <c r="Y175">
        <v>117.8</v>
      </c>
      <c r="Z175">
        <v>128.4</v>
      </c>
      <c r="AA175">
        <v>137.9</v>
      </c>
      <c r="AB175">
        <v>126.2</v>
      </c>
      <c r="AC175">
        <v>127.7</v>
      </c>
      <c r="AD175">
        <v>136.1</v>
      </c>
      <c r="AE175">
        <f t="shared" si="22"/>
        <v>140.1</v>
      </c>
      <c r="AF175">
        <f t="shared" si="23"/>
        <v>137.30000000000001</v>
      </c>
      <c r="AG175">
        <f t="shared" si="24"/>
        <v>137.9</v>
      </c>
      <c r="AH175">
        <f t="shared" si="25"/>
        <v>132.19999999999999</v>
      </c>
      <c r="AI175">
        <f t="shared" si="26"/>
        <v>131.30000000000001</v>
      </c>
      <c r="AJ175">
        <f t="shared" si="27"/>
        <v>117.8</v>
      </c>
      <c r="AK175">
        <f t="shared" si="28"/>
        <v>133.5</v>
      </c>
      <c r="AL175">
        <f t="shared" si="29"/>
        <v>128.4</v>
      </c>
      <c r="AM175">
        <f t="shared" si="30"/>
        <v>151.6</v>
      </c>
      <c r="AN175">
        <f t="shared" si="31"/>
        <v>130.65</v>
      </c>
      <c r="AO175">
        <f t="shared" si="32"/>
        <v>134.07499999999999</v>
      </c>
    </row>
    <row r="176" spans="1:41" hidden="1" x14ac:dyDescent="0.45">
      <c r="A176" t="s">
        <v>30</v>
      </c>
      <c r="B176">
        <v>2017</v>
      </c>
      <c r="C176" t="s">
        <v>45</v>
      </c>
      <c r="D176" t="s">
        <v>32</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v>141.1</v>
      </c>
      <c r="W176">
        <v>139.4</v>
      </c>
      <c r="X176">
        <v>135.80000000000001</v>
      </c>
      <c r="Y176">
        <v>121.6</v>
      </c>
      <c r="Z176">
        <v>133.69999999999999</v>
      </c>
      <c r="AA176">
        <v>141.5</v>
      </c>
      <c r="AB176">
        <v>128.1</v>
      </c>
      <c r="AC176">
        <v>131.69999999999999</v>
      </c>
      <c r="AD176">
        <v>140</v>
      </c>
      <c r="AE176">
        <f t="shared" si="22"/>
        <v>142.4</v>
      </c>
      <c r="AF176" t="str">
        <f t="shared" si="23"/>
        <v>NA</v>
      </c>
      <c r="AG176">
        <f t="shared" si="24"/>
        <v>141.5</v>
      </c>
      <c r="AH176">
        <f t="shared" si="25"/>
        <v>141.1</v>
      </c>
      <c r="AI176">
        <f t="shared" si="26"/>
        <v>135.80000000000001</v>
      </c>
      <c r="AJ176">
        <f t="shared" si="27"/>
        <v>121.6</v>
      </c>
      <c r="AK176">
        <f t="shared" si="28"/>
        <v>137.69999999999999</v>
      </c>
      <c r="AL176">
        <f t="shared" si="29"/>
        <v>133.69999999999999</v>
      </c>
      <c r="AM176">
        <f t="shared" si="30"/>
        <v>152.1</v>
      </c>
      <c r="AN176">
        <f t="shared" si="31"/>
        <v>135.55000000000001</v>
      </c>
      <c r="AO176">
        <f t="shared" si="32"/>
        <v>137.93888888888887</v>
      </c>
    </row>
    <row r="177" spans="1:41" hidden="1" x14ac:dyDescent="0.45">
      <c r="A177" t="s">
        <v>33</v>
      </c>
      <c r="B177">
        <v>2017</v>
      </c>
      <c r="C177" t="s">
        <v>45</v>
      </c>
      <c r="D177">
        <v>138.6</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125.7</v>
      </c>
      <c r="W177">
        <v>128.80000000000001</v>
      </c>
      <c r="X177">
        <v>127.4</v>
      </c>
      <c r="Y177">
        <v>115.3</v>
      </c>
      <c r="Z177">
        <v>125.1</v>
      </c>
      <c r="AA177">
        <v>136.6</v>
      </c>
      <c r="AB177">
        <v>124.9</v>
      </c>
      <c r="AC177">
        <v>124.9</v>
      </c>
      <c r="AD177">
        <v>134.80000000000001</v>
      </c>
      <c r="AE177">
        <f t="shared" si="22"/>
        <v>141.5</v>
      </c>
      <c r="AF177">
        <f t="shared" si="23"/>
        <v>138.6</v>
      </c>
      <c r="AG177">
        <f t="shared" si="24"/>
        <v>136.6</v>
      </c>
      <c r="AH177">
        <f t="shared" si="25"/>
        <v>125.7</v>
      </c>
      <c r="AI177">
        <f t="shared" si="26"/>
        <v>127.4</v>
      </c>
      <c r="AJ177">
        <f t="shared" si="27"/>
        <v>115.3</v>
      </c>
      <c r="AK177">
        <f t="shared" si="28"/>
        <v>129.19999999999999</v>
      </c>
      <c r="AL177">
        <f t="shared" si="29"/>
        <v>125.1</v>
      </c>
      <c r="AM177">
        <f t="shared" si="30"/>
        <v>156.19999999999999</v>
      </c>
      <c r="AN177">
        <f t="shared" si="31"/>
        <v>126.85000000000001</v>
      </c>
      <c r="AO177">
        <f t="shared" si="32"/>
        <v>132.24499999999998</v>
      </c>
    </row>
    <row r="178" spans="1:41" hidden="1" x14ac:dyDescent="0.45">
      <c r="A178" t="s">
        <v>34</v>
      </c>
      <c r="B178">
        <v>2017</v>
      </c>
      <c r="C178" t="s">
        <v>45</v>
      </c>
      <c r="D178">
        <v>138.6</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135.30000000000001</v>
      </c>
      <c r="W178">
        <v>134.4</v>
      </c>
      <c r="X178">
        <v>132.6</v>
      </c>
      <c r="Y178">
        <v>118.3</v>
      </c>
      <c r="Z178">
        <v>128.9</v>
      </c>
      <c r="AA178">
        <v>138.6</v>
      </c>
      <c r="AB178">
        <v>126.8</v>
      </c>
      <c r="AC178">
        <v>128.4</v>
      </c>
      <c r="AD178">
        <v>137.6</v>
      </c>
      <c r="AE178">
        <f t="shared" si="22"/>
        <v>142.1</v>
      </c>
      <c r="AF178">
        <f t="shared" si="23"/>
        <v>138.6</v>
      </c>
      <c r="AG178">
        <f t="shared" si="24"/>
        <v>138.6</v>
      </c>
      <c r="AH178">
        <f t="shared" si="25"/>
        <v>135.30000000000001</v>
      </c>
      <c r="AI178">
        <f t="shared" si="26"/>
        <v>132.6</v>
      </c>
      <c r="AJ178">
        <f t="shared" si="27"/>
        <v>118.3</v>
      </c>
      <c r="AK178">
        <f t="shared" si="28"/>
        <v>134.30000000000001</v>
      </c>
      <c r="AL178">
        <f t="shared" si="29"/>
        <v>128.9</v>
      </c>
      <c r="AM178">
        <f t="shared" si="30"/>
        <v>153.19999999999999</v>
      </c>
      <c r="AN178">
        <f t="shared" si="31"/>
        <v>131.4</v>
      </c>
      <c r="AO178">
        <f t="shared" si="32"/>
        <v>135.33000000000001</v>
      </c>
    </row>
    <row r="179" spans="1:41" hidden="1" x14ac:dyDescent="0.45">
      <c r="A179" t="s">
        <v>30</v>
      </c>
      <c r="B179">
        <v>2017</v>
      </c>
      <c r="C179" t="s">
        <v>46</v>
      </c>
      <c r="D179" t="s">
        <v>32</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v>142.6</v>
      </c>
      <c r="W179">
        <v>139.5</v>
      </c>
      <c r="X179">
        <v>136.1</v>
      </c>
      <c r="Y179">
        <v>122</v>
      </c>
      <c r="Z179">
        <v>133.4</v>
      </c>
      <c r="AA179">
        <v>141.1</v>
      </c>
      <c r="AB179">
        <v>127.8</v>
      </c>
      <c r="AC179">
        <v>131.9</v>
      </c>
      <c r="AD179">
        <v>139.80000000000001</v>
      </c>
      <c r="AE179">
        <f t="shared" si="22"/>
        <v>141.5</v>
      </c>
      <c r="AF179" t="str">
        <f t="shared" si="23"/>
        <v>NA</v>
      </c>
      <c r="AG179">
        <f t="shared" si="24"/>
        <v>141.1</v>
      </c>
      <c r="AH179">
        <f t="shared" si="25"/>
        <v>142.6</v>
      </c>
      <c r="AI179">
        <f t="shared" si="26"/>
        <v>136.1</v>
      </c>
      <c r="AJ179">
        <f t="shared" si="27"/>
        <v>122</v>
      </c>
      <c r="AK179">
        <f t="shared" si="28"/>
        <v>137.5</v>
      </c>
      <c r="AL179">
        <f t="shared" si="29"/>
        <v>133.4</v>
      </c>
      <c r="AM179">
        <f t="shared" si="30"/>
        <v>153.19999999999999</v>
      </c>
      <c r="AN179">
        <f t="shared" si="31"/>
        <v>135.69999999999999</v>
      </c>
      <c r="AO179">
        <f t="shared" si="32"/>
        <v>138.12222222222223</v>
      </c>
    </row>
    <row r="180" spans="1:41" hidden="1" x14ac:dyDescent="0.45">
      <c r="A180" t="s">
        <v>33</v>
      </c>
      <c r="B180">
        <v>2017</v>
      </c>
      <c r="C180" t="s">
        <v>46</v>
      </c>
      <c r="D180">
        <v>139.1</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126.8</v>
      </c>
      <c r="W180">
        <v>129.30000000000001</v>
      </c>
      <c r="X180">
        <v>128.19999999999999</v>
      </c>
      <c r="Y180">
        <v>115.3</v>
      </c>
      <c r="Z180">
        <v>125.6</v>
      </c>
      <c r="AA180">
        <v>136.69999999999999</v>
      </c>
      <c r="AB180">
        <v>124.6</v>
      </c>
      <c r="AC180">
        <v>125.1</v>
      </c>
      <c r="AD180">
        <v>134.1</v>
      </c>
      <c r="AE180">
        <f t="shared" si="22"/>
        <v>138.80000000000001</v>
      </c>
      <c r="AF180">
        <f t="shared" si="23"/>
        <v>139.1</v>
      </c>
      <c r="AG180">
        <f t="shared" si="24"/>
        <v>136.69999999999999</v>
      </c>
      <c r="AH180">
        <f t="shared" si="25"/>
        <v>126.8</v>
      </c>
      <c r="AI180">
        <f t="shared" si="26"/>
        <v>128.19999999999999</v>
      </c>
      <c r="AJ180">
        <f t="shared" si="27"/>
        <v>115.3</v>
      </c>
      <c r="AK180">
        <f t="shared" si="28"/>
        <v>129.30000000000001</v>
      </c>
      <c r="AL180">
        <f t="shared" si="29"/>
        <v>125.6</v>
      </c>
      <c r="AM180">
        <f t="shared" si="30"/>
        <v>157</v>
      </c>
      <c r="AN180">
        <f t="shared" si="31"/>
        <v>127.2</v>
      </c>
      <c r="AO180">
        <f t="shared" si="32"/>
        <v>132.39999999999998</v>
      </c>
    </row>
    <row r="181" spans="1:41" hidden="1" x14ac:dyDescent="0.45">
      <c r="A181" t="s">
        <v>34</v>
      </c>
      <c r="B181">
        <v>2017</v>
      </c>
      <c r="C181" t="s">
        <v>46</v>
      </c>
      <c r="D181">
        <v>139.1</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136.6</v>
      </c>
      <c r="W181">
        <v>134.69999999999999</v>
      </c>
      <c r="X181">
        <v>133.1</v>
      </c>
      <c r="Y181">
        <v>118.5</v>
      </c>
      <c r="Z181">
        <v>129</v>
      </c>
      <c r="AA181">
        <v>138.5</v>
      </c>
      <c r="AB181">
        <v>126.5</v>
      </c>
      <c r="AC181">
        <v>128.6</v>
      </c>
      <c r="AD181">
        <v>137.19999999999999</v>
      </c>
      <c r="AE181">
        <f t="shared" si="22"/>
        <v>140.5</v>
      </c>
      <c r="AF181">
        <f t="shared" si="23"/>
        <v>139.1</v>
      </c>
      <c r="AG181">
        <f t="shared" si="24"/>
        <v>138.5</v>
      </c>
      <c r="AH181">
        <f t="shared" si="25"/>
        <v>136.6</v>
      </c>
      <c r="AI181">
        <f t="shared" si="26"/>
        <v>133.1</v>
      </c>
      <c r="AJ181">
        <f t="shared" si="27"/>
        <v>118.5</v>
      </c>
      <c r="AK181">
        <f t="shared" si="28"/>
        <v>134.25</v>
      </c>
      <c r="AL181">
        <f t="shared" si="29"/>
        <v>129</v>
      </c>
      <c r="AM181">
        <f t="shared" si="30"/>
        <v>154.19999999999999</v>
      </c>
      <c r="AN181">
        <f t="shared" si="31"/>
        <v>131.64999999999998</v>
      </c>
      <c r="AO181">
        <f t="shared" si="32"/>
        <v>135.54000000000002</v>
      </c>
    </row>
    <row r="182" spans="1:41" hidden="1" x14ac:dyDescent="0.45">
      <c r="A182" t="s">
        <v>30</v>
      </c>
      <c r="B182">
        <v>2018</v>
      </c>
      <c r="C182" t="s">
        <v>31</v>
      </c>
      <c r="D182" t="s">
        <v>32</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v>142.30000000000001</v>
      </c>
      <c r="W182">
        <v>139.80000000000001</v>
      </c>
      <c r="X182">
        <v>136</v>
      </c>
      <c r="Y182">
        <v>122.7</v>
      </c>
      <c r="Z182">
        <v>134.30000000000001</v>
      </c>
      <c r="AA182">
        <v>141.6</v>
      </c>
      <c r="AB182">
        <v>128.6</v>
      </c>
      <c r="AC182">
        <v>132.30000000000001</v>
      </c>
      <c r="AD182">
        <v>139.30000000000001</v>
      </c>
      <c r="AE182">
        <f t="shared" si="22"/>
        <v>140.4</v>
      </c>
      <c r="AF182" t="str">
        <f t="shared" si="23"/>
        <v>NA</v>
      </c>
      <c r="AG182">
        <f t="shared" si="24"/>
        <v>141.6</v>
      </c>
      <c r="AH182">
        <f t="shared" si="25"/>
        <v>142.30000000000001</v>
      </c>
      <c r="AI182">
        <f t="shared" si="26"/>
        <v>136</v>
      </c>
      <c r="AJ182">
        <f t="shared" si="27"/>
        <v>122.7</v>
      </c>
      <c r="AK182">
        <f t="shared" si="28"/>
        <v>138.05000000000001</v>
      </c>
      <c r="AL182">
        <f t="shared" si="29"/>
        <v>134.30000000000001</v>
      </c>
      <c r="AM182">
        <f t="shared" si="30"/>
        <v>153.6</v>
      </c>
      <c r="AN182">
        <f t="shared" si="31"/>
        <v>136.05000000000001</v>
      </c>
      <c r="AO182">
        <f t="shared" si="32"/>
        <v>138.33333333333331</v>
      </c>
    </row>
    <row r="183" spans="1:41" hidden="1" x14ac:dyDescent="0.45">
      <c r="A183" t="s">
        <v>33</v>
      </c>
      <c r="B183">
        <v>2018</v>
      </c>
      <c r="C183" t="s">
        <v>31</v>
      </c>
      <c r="D183">
        <v>140.4</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127.3</v>
      </c>
      <c r="W183">
        <v>129.5</v>
      </c>
      <c r="X183">
        <v>129</v>
      </c>
      <c r="Y183">
        <v>116.3</v>
      </c>
      <c r="Z183">
        <v>126.2</v>
      </c>
      <c r="AA183">
        <v>137.1</v>
      </c>
      <c r="AB183">
        <v>125.5</v>
      </c>
      <c r="AC183">
        <v>125.8</v>
      </c>
      <c r="AD183">
        <v>134.1</v>
      </c>
      <c r="AE183">
        <f t="shared" si="22"/>
        <v>137.19999999999999</v>
      </c>
      <c r="AF183">
        <f t="shared" si="23"/>
        <v>140.4</v>
      </c>
      <c r="AG183">
        <f t="shared" si="24"/>
        <v>137.1</v>
      </c>
      <c r="AH183">
        <f t="shared" si="25"/>
        <v>127.3</v>
      </c>
      <c r="AI183">
        <f t="shared" si="26"/>
        <v>129</v>
      </c>
      <c r="AJ183">
        <f t="shared" si="27"/>
        <v>116.3</v>
      </c>
      <c r="AK183">
        <f t="shared" si="28"/>
        <v>129.94999999999999</v>
      </c>
      <c r="AL183">
        <f t="shared" si="29"/>
        <v>126.2</v>
      </c>
      <c r="AM183">
        <f t="shared" si="30"/>
        <v>157.69999999999999</v>
      </c>
      <c r="AN183">
        <f t="shared" si="31"/>
        <v>127.65</v>
      </c>
      <c r="AO183">
        <f t="shared" si="32"/>
        <v>132.88000000000002</v>
      </c>
    </row>
    <row r="184" spans="1:41" hidden="1" x14ac:dyDescent="0.45">
      <c r="A184" t="s">
        <v>34</v>
      </c>
      <c r="B184">
        <v>2018</v>
      </c>
      <c r="C184" t="s">
        <v>31</v>
      </c>
      <c r="D184">
        <v>140.4</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136.6</v>
      </c>
      <c r="W184">
        <v>134.9</v>
      </c>
      <c r="X184">
        <v>133.30000000000001</v>
      </c>
      <c r="Y184">
        <v>119.3</v>
      </c>
      <c r="Z184">
        <v>129.69999999999999</v>
      </c>
      <c r="AA184">
        <v>139</v>
      </c>
      <c r="AB184">
        <v>127.3</v>
      </c>
      <c r="AC184">
        <v>129.1</v>
      </c>
      <c r="AD184">
        <v>136.9</v>
      </c>
      <c r="AE184">
        <f t="shared" si="22"/>
        <v>139.19999999999999</v>
      </c>
      <c r="AF184">
        <f t="shared" si="23"/>
        <v>140.4</v>
      </c>
      <c r="AG184">
        <f t="shared" si="24"/>
        <v>139</v>
      </c>
      <c r="AH184">
        <f t="shared" si="25"/>
        <v>136.6</v>
      </c>
      <c r="AI184">
        <f t="shared" si="26"/>
        <v>133.30000000000001</v>
      </c>
      <c r="AJ184">
        <f t="shared" si="27"/>
        <v>119.3</v>
      </c>
      <c r="AK184">
        <f t="shared" si="28"/>
        <v>134.80000000000001</v>
      </c>
      <c r="AL184">
        <f t="shared" si="29"/>
        <v>129.69999999999999</v>
      </c>
      <c r="AM184">
        <f t="shared" si="30"/>
        <v>154.69999999999999</v>
      </c>
      <c r="AN184">
        <f t="shared" si="31"/>
        <v>132</v>
      </c>
      <c r="AO184">
        <f t="shared" si="32"/>
        <v>135.9</v>
      </c>
    </row>
    <row r="185" spans="1:41" hidden="1" x14ac:dyDescent="0.45">
      <c r="A185" t="s">
        <v>30</v>
      </c>
      <c r="B185">
        <v>2018</v>
      </c>
      <c r="C185" t="s">
        <v>35</v>
      </c>
      <c r="D185" t="s">
        <v>32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v>142.4</v>
      </c>
      <c r="W185">
        <v>139.9</v>
      </c>
      <c r="X185">
        <v>136.19999999999999</v>
      </c>
      <c r="Y185">
        <v>123.3</v>
      </c>
      <c r="Z185">
        <v>134.30000000000001</v>
      </c>
      <c r="AA185">
        <v>141.5</v>
      </c>
      <c r="AB185">
        <v>128.80000000000001</v>
      </c>
      <c r="AC185">
        <v>132.5</v>
      </c>
      <c r="AD185">
        <v>138.5</v>
      </c>
      <c r="AE185">
        <f t="shared" si="22"/>
        <v>138.69999999999999</v>
      </c>
      <c r="AF185" t="str">
        <f t="shared" si="23"/>
        <v>NA</v>
      </c>
      <c r="AG185">
        <f t="shared" si="24"/>
        <v>141.5</v>
      </c>
      <c r="AH185">
        <f t="shared" si="25"/>
        <v>142.4</v>
      </c>
      <c r="AI185">
        <f t="shared" si="26"/>
        <v>136.19999999999999</v>
      </c>
      <c r="AJ185">
        <f t="shared" si="27"/>
        <v>123.3</v>
      </c>
      <c r="AK185">
        <f t="shared" si="28"/>
        <v>138.30000000000001</v>
      </c>
      <c r="AL185">
        <f t="shared" si="29"/>
        <v>134.30000000000001</v>
      </c>
      <c r="AM185">
        <f t="shared" si="30"/>
        <v>153.30000000000001</v>
      </c>
      <c r="AN185">
        <f t="shared" si="31"/>
        <v>136.19999999999999</v>
      </c>
      <c r="AO185">
        <f t="shared" si="32"/>
        <v>138.24444444444441</v>
      </c>
    </row>
    <row r="186" spans="1:41" hidden="1" x14ac:dyDescent="0.45">
      <c r="A186" t="s">
        <v>33</v>
      </c>
      <c r="B186">
        <v>2018</v>
      </c>
      <c r="C186" t="s">
        <v>35</v>
      </c>
      <c r="D186">
        <v>141.30000000000001</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127.3</v>
      </c>
      <c r="W186">
        <v>129.9</v>
      </c>
      <c r="X186">
        <v>129.80000000000001</v>
      </c>
      <c r="Y186">
        <v>117.4</v>
      </c>
      <c r="Z186">
        <v>126.5</v>
      </c>
      <c r="AA186">
        <v>137.19999999999999</v>
      </c>
      <c r="AB186">
        <v>126.2</v>
      </c>
      <c r="AC186">
        <v>126.5</v>
      </c>
      <c r="AD186">
        <v>134</v>
      </c>
      <c r="AE186">
        <f t="shared" si="22"/>
        <v>135.6</v>
      </c>
      <c r="AF186">
        <f t="shared" si="23"/>
        <v>141.30000000000001</v>
      </c>
      <c r="AG186">
        <f t="shared" si="24"/>
        <v>137.19999999999999</v>
      </c>
      <c r="AH186">
        <f t="shared" si="25"/>
        <v>127.3</v>
      </c>
      <c r="AI186">
        <f t="shared" si="26"/>
        <v>129.80000000000001</v>
      </c>
      <c r="AJ186">
        <f t="shared" si="27"/>
        <v>117.4</v>
      </c>
      <c r="AK186">
        <f t="shared" si="28"/>
        <v>130.44999999999999</v>
      </c>
      <c r="AL186">
        <f t="shared" si="29"/>
        <v>126.5</v>
      </c>
      <c r="AM186">
        <f t="shared" si="30"/>
        <v>159.30000000000001</v>
      </c>
      <c r="AN186">
        <f t="shared" si="31"/>
        <v>128.19999999999999</v>
      </c>
      <c r="AO186">
        <f t="shared" si="32"/>
        <v>133.30500000000001</v>
      </c>
    </row>
    <row r="187" spans="1:41" hidden="1" x14ac:dyDescent="0.45">
      <c r="A187" t="s">
        <v>34</v>
      </c>
      <c r="B187">
        <v>2018</v>
      </c>
      <c r="C187" t="s">
        <v>35</v>
      </c>
      <c r="D187">
        <v>141.30000000000001</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136.69999999999999</v>
      </c>
      <c r="W187">
        <v>135.19999999999999</v>
      </c>
      <c r="X187">
        <v>133.80000000000001</v>
      </c>
      <c r="Y187">
        <v>120.2</v>
      </c>
      <c r="Z187">
        <v>129.9</v>
      </c>
      <c r="AA187">
        <v>139</v>
      </c>
      <c r="AB187">
        <v>127.7</v>
      </c>
      <c r="AC187">
        <v>129.6</v>
      </c>
      <c r="AD187">
        <v>136.4</v>
      </c>
      <c r="AE187">
        <f t="shared" si="22"/>
        <v>137.6</v>
      </c>
      <c r="AF187">
        <f t="shared" si="23"/>
        <v>141.30000000000001</v>
      </c>
      <c r="AG187">
        <f t="shared" si="24"/>
        <v>139</v>
      </c>
      <c r="AH187">
        <f t="shared" si="25"/>
        <v>136.69999999999999</v>
      </c>
      <c r="AI187">
        <f t="shared" si="26"/>
        <v>133.80000000000001</v>
      </c>
      <c r="AJ187">
        <f t="shared" si="27"/>
        <v>120.2</v>
      </c>
      <c r="AK187">
        <f t="shared" si="28"/>
        <v>135.15</v>
      </c>
      <c r="AL187">
        <f t="shared" si="29"/>
        <v>129.9</v>
      </c>
      <c r="AM187">
        <f t="shared" si="30"/>
        <v>154.9</v>
      </c>
      <c r="AN187">
        <f t="shared" si="31"/>
        <v>132.39999999999998</v>
      </c>
      <c r="AO187">
        <f t="shared" si="32"/>
        <v>136.09499999999997</v>
      </c>
    </row>
    <row r="188" spans="1:41" hidden="1" x14ac:dyDescent="0.45">
      <c r="A188" t="s">
        <v>30</v>
      </c>
      <c r="B188">
        <v>2018</v>
      </c>
      <c r="C188" t="s">
        <v>36</v>
      </c>
      <c r="D188" t="s">
        <v>32</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v>142.6</v>
      </c>
      <c r="W188">
        <v>139.9</v>
      </c>
      <c r="X188">
        <v>136.69999999999999</v>
      </c>
      <c r="Y188">
        <v>124.6</v>
      </c>
      <c r="Z188">
        <v>135.1</v>
      </c>
      <c r="AA188">
        <v>142.69999999999999</v>
      </c>
      <c r="AB188">
        <v>129.30000000000001</v>
      </c>
      <c r="AC188">
        <v>133.30000000000001</v>
      </c>
      <c r="AD188">
        <v>138.69999999999999</v>
      </c>
      <c r="AE188">
        <f t="shared" si="22"/>
        <v>138.6</v>
      </c>
      <c r="AF188" t="str">
        <f t="shared" si="23"/>
        <v>NA</v>
      </c>
      <c r="AG188">
        <f t="shared" si="24"/>
        <v>142.69999999999999</v>
      </c>
      <c r="AH188">
        <f t="shared" si="25"/>
        <v>142.6</v>
      </c>
      <c r="AI188">
        <f t="shared" si="26"/>
        <v>136.69999999999999</v>
      </c>
      <c r="AJ188">
        <f t="shared" si="27"/>
        <v>124.6</v>
      </c>
      <c r="AK188">
        <f t="shared" si="28"/>
        <v>138.80000000000001</v>
      </c>
      <c r="AL188">
        <f t="shared" si="29"/>
        <v>135.1</v>
      </c>
      <c r="AM188">
        <f t="shared" si="30"/>
        <v>155.1</v>
      </c>
      <c r="AN188">
        <f t="shared" si="31"/>
        <v>136.60000000000002</v>
      </c>
      <c r="AO188">
        <f t="shared" si="32"/>
        <v>138.97777777777779</v>
      </c>
    </row>
    <row r="189" spans="1:41" hidden="1" x14ac:dyDescent="0.45">
      <c r="A189" t="s">
        <v>33</v>
      </c>
      <c r="B189">
        <v>2018</v>
      </c>
      <c r="C189" t="s">
        <v>36</v>
      </c>
      <c r="D189">
        <v>142</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126.4</v>
      </c>
      <c r="W189">
        <v>130.80000000000001</v>
      </c>
      <c r="X189">
        <v>130.5</v>
      </c>
      <c r="Y189">
        <v>117.8</v>
      </c>
      <c r="Z189">
        <v>126.8</v>
      </c>
      <c r="AA189">
        <v>137.80000000000001</v>
      </c>
      <c r="AB189">
        <v>126.7</v>
      </c>
      <c r="AC189">
        <v>127.1</v>
      </c>
      <c r="AD189">
        <v>134</v>
      </c>
      <c r="AE189">
        <f t="shared" si="22"/>
        <v>134.80000000000001</v>
      </c>
      <c r="AF189">
        <f t="shared" si="23"/>
        <v>142</v>
      </c>
      <c r="AG189">
        <f t="shared" si="24"/>
        <v>137.80000000000001</v>
      </c>
      <c r="AH189">
        <f t="shared" si="25"/>
        <v>126.4</v>
      </c>
      <c r="AI189">
        <f t="shared" si="26"/>
        <v>130.5</v>
      </c>
      <c r="AJ189">
        <f t="shared" si="27"/>
        <v>117.8</v>
      </c>
      <c r="AK189">
        <f t="shared" si="28"/>
        <v>130.94999999999999</v>
      </c>
      <c r="AL189">
        <f t="shared" si="29"/>
        <v>126.8</v>
      </c>
      <c r="AM189">
        <f t="shared" si="30"/>
        <v>159.69999999999999</v>
      </c>
      <c r="AN189">
        <f t="shared" si="31"/>
        <v>128.94999999999999</v>
      </c>
      <c r="AO189">
        <f t="shared" si="32"/>
        <v>133.57</v>
      </c>
    </row>
    <row r="190" spans="1:41" hidden="1" x14ac:dyDescent="0.45">
      <c r="A190" t="s">
        <v>34</v>
      </c>
      <c r="B190">
        <v>2018</v>
      </c>
      <c r="C190" t="s">
        <v>36</v>
      </c>
      <c r="D190">
        <v>142</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136.5</v>
      </c>
      <c r="W190">
        <v>135.6</v>
      </c>
      <c r="X190">
        <v>134.30000000000001</v>
      </c>
      <c r="Y190">
        <v>121</v>
      </c>
      <c r="Z190">
        <v>130.4</v>
      </c>
      <c r="AA190">
        <v>139.80000000000001</v>
      </c>
      <c r="AB190">
        <v>128.19999999999999</v>
      </c>
      <c r="AC190">
        <v>130.30000000000001</v>
      </c>
      <c r="AD190">
        <v>136.5</v>
      </c>
      <c r="AE190">
        <f t="shared" si="22"/>
        <v>137.19999999999999</v>
      </c>
      <c r="AF190">
        <f t="shared" si="23"/>
        <v>142</v>
      </c>
      <c r="AG190">
        <f t="shared" si="24"/>
        <v>139.80000000000001</v>
      </c>
      <c r="AH190">
        <f t="shared" si="25"/>
        <v>136.5</v>
      </c>
      <c r="AI190">
        <f t="shared" si="26"/>
        <v>134.30000000000001</v>
      </c>
      <c r="AJ190">
        <f t="shared" si="27"/>
        <v>121</v>
      </c>
      <c r="AK190">
        <f t="shared" si="28"/>
        <v>135.64999999999998</v>
      </c>
      <c r="AL190">
        <f t="shared" si="29"/>
        <v>130.4</v>
      </c>
      <c r="AM190">
        <f t="shared" si="30"/>
        <v>156.30000000000001</v>
      </c>
      <c r="AN190">
        <f t="shared" si="31"/>
        <v>132.94999999999999</v>
      </c>
      <c r="AO190">
        <f t="shared" si="32"/>
        <v>136.60999999999999</v>
      </c>
    </row>
    <row r="191" spans="1:41" hidden="1" x14ac:dyDescent="0.45">
      <c r="A191" t="s">
        <v>30</v>
      </c>
      <c r="B191">
        <v>2018</v>
      </c>
      <c r="C191" t="s">
        <v>37</v>
      </c>
      <c r="D191" t="s">
        <v>32</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v>143.80000000000001</v>
      </c>
      <c r="W191">
        <v>140.9</v>
      </c>
      <c r="X191">
        <v>137.6</v>
      </c>
      <c r="Y191">
        <v>125.3</v>
      </c>
      <c r="Z191">
        <v>136</v>
      </c>
      <c r="AA191">
        <v>143.69999999999999</v>
      </c>
      <c r="AB191">
        <v>130.4</v>
      </c>
      <c r="AC191">
        <v>134.19999999999999</v>
      </c>
      <c r="AD191">
        <v>139.1</v>
      </c>
      <c r="AE191">
        <f t="shared" si="22"/>
        <v>138.6</v>
      </c>
      <c r="AF191" t="str">
        <f t="shared" si="23"/>
        <v>NA</v>
      </c>
      <c r="AG191">
        <f t="shared" si="24"/>
        <v>143.69999999999999</v>
      </c>
      <c r="AH191">
        <f t="shared" si="25"/>
        <v>143.80000000000001</v>
      </c>
      <c r="AI191">
        <f t="shared" si="26"/>
        <v>137.6</v>
      </c>
      <c r="AJ191">
        <f t="shared" si="27"/>
        <v>125.3</v>
      </c>
      <c r="AK191">
        <f t="shared" si="28"/>
        <v>139.75</v>
      </c>
      <c r="AL191">
        <f t="shared" si="29"/>
        <v>136</v>
      </c>
      <c r="AM191">
        <f t="shared" si="30"/>
        <v>156.1</v>
      </c>
      <c r="AN191">
        <f t="shared" si="31"/>
        <v>137.55000000000001</v>
      </c>
      <c r="AO191">
        <f t="shared" si="32"/>
        <v>139.82222222222219</v>
      </c>
    </row>
    <row r="192" spans="1:41" hidden="1" x14ac:dyDescent="0.45">
      <c r="A192" t="s">
        <v>33</v>
      </c>
      <c r="B192">
        <v>2018</v>
      </c>
      <c r="C192" t="s">
        <v>37</v>
      </c>
      <c r="D192">
        <v>142.9</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124.6</v>
      </c>
      <c r="W192">
        <v>131.80000000000001</v>
      </c>
      <c r="X192">
        <v>131.30000000000001</v>
      </c>
      <c r="Y192">
        <v>118.9</v>
      </c>
      <c r="Z192">
        <v>127.6</v>
      </c>
      <c r="AA192">
        <v>139.69999999999999</v>
      </c>
      <c r="AB192">
        <v>127.6</v>
      </c>
      <c r="AC192">
        <v>128.19999999999999</v>
      </c>
      <c r="AD192">
        <v>134.80000000000001</v>
      </c>
      <c r="AE192">
        <f t="shared" si="22"/>
        <v>135.69999999999999</v>
      </c>
      <c r="AF192">
        <f t="shared" si="23"/>
        <v>142.9</v>
      </c>
      <c r="AG192">
        <f t="shared" si="24"/>
        <v>139.69999999999999</v>
      </c>
      <c r="AH192">
        <f t="shared" si="25"/>
        <v>124.6</v>
      </c>
      <c r="AI192">
        <f t="shared" si="26"/>
        <v>131.30000000000001</v>
      </c>
      <c r="AJ192">
        <f t="shared" si="27"/>
        <v>118.9</v>
      </c>
      <c r="AK192">
        <f t="shared" si="28"/>
        <v>131.89999999999998</v>
      </c>
      <c r="AL192">
        <f t="shared" si="29"/>
        <v>127.6</v>
      </c>
      <c r="AM192">
        <f t="shared" si="30"/>
        <v>159.19999999999999</v>
      </c>
      <c r="AN192">
        <f t="shared" si="31"/>
        <v>130</v>
      </c>
      <c r="AO192">
        <f t="shared" si="32"/>
        <v>134.18</v>
      </c>
    </row>
    <row r="193" spans="1:41" hidden="1" x14ac:dyDescent="0.45">
      <c r="A193" t="s">
        <v>34</v>
      </c>
      <c r="B193">
        <v>2018</v>
      </c>
      <c r="C193" t="s">
        <v>37</v>
      </c>
      <c r="D193">
        <v>142.9</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136.5</v>
      </c>
      <c r="W193">
        <v>136.6</v>
      </c>
      <c r="X193">
        <v>135.19999999999999</v>
      </c>
      <c r="Y193">
        <v>121.9</v>
      </c>
      <c r="Z193">
        <v>131.30000000000001</v>
      </c>
      <c r="AA193">
        <v>141.4</v>
      </c>
      <c r="AB193">
        <v>129.19999999999999</v>
      </c>
      <c r="AC193">
        <v>131.30000000000001</v>
      </c>
      <c r="AD193">
        <v>137.1</v>
      </c>
      <c r="AE193">
        <f t="shared" si="22"/>
        <v>137.5</v>
      </c>
      <c r="AF193">
        <f t="shared" si="23"/>
        <v>142.9</v>
      </c>
      <c r="AG193">
        <f t="shared" si="24"/>
        <v>141.4</v>
      </c>
      <c r="AH193">
        <f t="shared" si="25"/>
        <v>136.5</v>
      </c>
      <c r="AI193">
        <f t="shared" si="26"/>
        <v>135.19999999999999</v>
      </c>
      <c r="AJ193">
        <f t="shared" si="27"/>
        <v>121.9</v>
      </c>
      <c r="AK193">
        <f t="shared" si="28"/>
        <v>136.6</v>
      </c>
      <c r="AL193">
        <f t="shared" si="29"/>
        <v>131.30000000000001</v>
      </c>
      <c r="AM193">
        <f t="shared" si="30"/>
        <v>156.9</v>
      </c>
      <c r="AN193">
        <f t="shared" si="31"/>
        <v>133.94999999999999</v>
      </c>
      <c r="AO193">
        <f t="shared" si="32"/>
        <v>137.41500000000002</v>
      </c>
    </row>
    <row r="194" spans="1:41" hidden="1" x14ac:dyDescent="0.45">
      <c r="A194" t="s">
        <v>30</v>
      </c>
      <c r="B194">
        <v>2018</v>
      </c>
      <c r="C194" t="s">
        <v>38</v>
      </c>
      <c r="D194" t="s">
        <v>32</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v>144.30000000000001</v>
      </c>
      <c r="W194">
        <v>141.80000000000001</v>
      </c>
      <c r="X194">
        <v>138.4</v>
      </c>
      <c r="Y194">
        <v>126.4</v>
      </c>
      <c r="Z194">
        <v>136.80000000000001</v>
      </c>
      <c r="AA194">
        <v>144.4</v>
      </c>
      <c r="AB194">
        <v>131.19999999999999</v>
      </c>
      <c r="AC194">
        <v>135.1</v>
      </c>
      <c r="AD194">
        <v>139.80000000000001</v>
      </c>
      <c r="AE194">
        <f t="shared" si="22"/>
        <v>139.1</v>
      </c>
      <c r="AF194" t="str">
        <f t="shared" si="23"/>
        <v>NA</v>
      </c>
      <c r="AG194">
        <f t="shared" si="24"/>
        <v>144.4</v>
      </c>
      <c r="AH194">
        <f t="shared" si="25"/>
        <v>144.30000000000001</v>
      </c>
      <c r="AI194">
        <f t="shared" si="26"/>
        <v>138.4</v>
      </c>
      <c r="AJ194">
        <f t="shared" si="27"/>
        <v>126.4</v>
      </c>
      <c r="AK194">
        <f t="shared" si="28"/>
        <v>140.5</v>
      </c>
      <c r="AL194">
        <f t="shared" si="29"/>
        <v>136.80000000000001</v>
      </c>
      <c r="AM194">
        <f t="shared" si="30"/>
        <v>157</v>
      </c>
      <c r="AN194">
        <f t="shared" si="31"/>
        <v>138.44999999999999</v>
      </c>
      <c r="AO194">
        <f t="shared" si="32"/>
        <v>140.59444444444446</v>
      </c>
    </row>
    <row r="195" spans="1:41" hidden="1" x14ac:dyDescent="0.45">
      <c r="A195" t="s">
        <v>33</v>
      </c>
      <c r="B195">
        <v>2018</v>
      </c>
      <c r="C195" t="s">
        <v>38</v>
      </c>
      <c r="D195">
        <v>143.19999999999999</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124.7</v>
      </c>
      <c r="W195">
        <v>132.5</v>
      </c>
      <c r="X195">
        <v>132</v>
      </c>
      <c r="Y195">
        <v>119.8</v>
      </c>
      <c r="Z195">
        <v>128</v>
      </c>
      <c r="AA195">
        <v>140.4</v>
      </c>
      <c r="AB195">
        <v>128.1</v>
      </c>
      <c r="AC195">
        <v>128.9</v>
      </c>
      <c r="AD195">
        <v>135.4</v>
      </c>
      <c r="AE195">
        <f t="shared" ref="AE195:AE258" si="33">Q195</f>
        <v>136.4</v>
      </c>
      <c r="AF195">
        <f t="shared" ref="AF195:AF258" si="34">D195</f>
        <v>143.19999999999999</v>
      </c>
      <c r="AG195">
        <f t="shared" ref="AG195:AG258" si="35">AA195</f>
        <v>140.4</v>
      </c>
      <c r="AH195">
        <f t="shared" ref="AH195:AH258" si="36">V195</f>
        <v>124.7</v>
      </c>
      <c r="AI195">
        <f t="shared" ref="AI195:AI258" si="37">X195</f>
        <v>132</v>
      </c>
      <c r="AJ195">
        <f t="shared" ref="AJ195:AJ258" si="38">Y195</f>
        <v>119.8</v>
      </c>
      <c r="AK195">
        <f t="shared" ref="AK195:AK258" si="39">AVERAGE(U195,AB195)</f>
        <v>132.55000000000001</v>
      </c>
      <c r="AL195">
        <f t="shared" ref="AL195:AL258" si="40">Z195</f>
        <v>128</v>
      </c>
      <c r="AM195">
        <f t="shared" ref="AM195:AM258" si="41">R195</f>
        <v>160.30000000000001</v>
      </c>
      <c r="AN195">
        <f t="shared" ref="AN195:AN258" si="42">AVERAGE(W195,AC195)</f>
        <v>130.69999999999999</v>
      </c>
      <c r="AO195">
        <f t="shared" ref="AO195:AO258" si="43">AVERAGE(AE195:AN195)</f>
        <v>134.80500000000001</v>
      </c>
    </row>
    <row r="196" spans="1:41" hidden="1" x14ac:dyDescent="0.45">
      <c r="A196" t="s">
        <v>34</v>
      </c>
      <c r="B196">
        <v>2018</v>
      </c>
      <c r="C196" t="s">
        <v>38</v>
      </c>
      <c r="D196">
        <v>143.19999999999999</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136.9</v>
      </c>
      <c r="W196">
        <v>137.4</v>
      </c>
      <c r="X196">
        <v>136</v>
      </c>
      <c r="Y196">
        <v>122.9</v>
      </c>
      <c r="Z196">
        <v>131.80000000000001</v>
      </c>
      <c r="AA196">
        <v>142.1</v>
      </c>
      <c r="AB196">
        <v>129.9</v>
      </c>
      <c r="AC196">
        <v>132.1</v>
      </c>
      <c r="AD196">
        <v>137.80000000000001</v>
      </c>
      <c r="AE196">
        <f t="shared" si="33"/>
        <v>138.1</v>
      </c>
      <c r="AF196">
        <f t="shared" si="34"/>
        <v>143.19999999999999</v>
      </c>
      <c r="AG196">
        <f t="shared" si="35"/>
        <v>142.1</v>
      </c>
      <c r="AH196">
        <f t="shared" si="36"/>
        <v>136.9</v>
      </c>
      <c r="AI196">
        <f t="shared" si="37"/>
        <v>136</v>
      </c>
      <c r="AJ196">
        <f t="shared" si="38"/>
        <v>122.9</v>
      </c>
      <c r="AK196">
        <f t="shared" si="39"/>
        <v>137.30000000000001</v>
      </c>
      <c r="AL196">
        <f t="shared" si="40"/>
        <v>131.80000000000001</v>
      </c>
      <c r="AM196">
        <f t="shared" si="41"/>
        <v>157.9</v>
      </c>
      <c r="AN196">
        <f t="shared" si="42"/>
        <v>134.75</v>
      </c>
      <c r="AO196">
        <f t="shared" si="43"/>
        <v>138.095</v>
      </c>
    </row>
    <row r="197" spans="1:41" hidden="1" x14ac:dyDescent="0.45">
      <c r="A197" t="s">
        <v>30</v>
      </c>
      <c r="B197">
        <v>2018</v>
      </c>
      <c r="C197" t="s">
        <v>39</v>
      </c>
      <c r="D197" t="s">
        <v>32</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v>145.1</v>
      </c>
      <c r="W197">
        <v>142.19999999999999</v>
      </c>
      <c r="X197">
        <v>138.4</v>
      </c>
      <c r="Y197">
        <v>127.4</v>
      </c>
      <c r="Z197">
        <v>137.80000000000001</v>
      </c>
      <c r="AA197">
        <v>145.1</v>
      </c>
      <c r="AB197">
        <v>131.4</v>
      </c>
      <c r="AC197">
        <v>135.6</v>
      </c>
      <c r="AD197">
        <v>140.5</v>
      </c>
      <c r="AE197">
        <f t="shared" si="33"/>
        <v>140</v>
      </c>
      <c r="AF197" t="str">
        <f t="shared" si="34"/>
        <v>NA</v>
      </c>
      <c r="AG197">
        <f t="shared" si="35"/>
        <v>145.1</v>
      </c>
      <c r="AH197">
        <f t="shared" si="36"/>
        <v>145.1</v>
      </c>
      <c r="AI197">
        <f t="shared" si="37"/>
        <v>138.4</v>
      </c>
      <c r="AJ197">
        <f t="shared" si="38"/>
        <v>127.4</v>
      </c>
      <c r="AK197">
        <f t="shared" si="39"/>
        <v>140.85000000000002</v>
      </c>
      <c r="AL197">
        <f t="shared" si="40"/>
        <v>137.80000000000001</v>
      </c>
      <c r="AM197">
        <f t="shared" si="41"/>
        <v>157.30000000000001</v>
      </c>
      <c r="AN197">
        <f t="shared" si="42"/>
        <v>138.89999999999998</v>
      </c>
      <c r="AO197">
        <f t="shared" si="43"/>
        <v>141.20555555555555</v>
      </c>
    </row>
    <row r="198" spans="1:41" hidden="1" x14ac:dyDescent="0.45">
      <c r="A198" t="s">
        <v>33</v>
      </c>
      <c r="B198">
        <v>2018</v>
      </c>
      <c r="C198" t="s">
        <v>39</v>
      </c>
      <c r="D198">
        <v>142.5</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126.5</v>
      </c>
      <c r="W198">
        <v>133.1</v>
      </c>
      <c r="X198">
        <v>132.6</v>
      </c>
      <c r="Y198">
        <v>120.4</v>
      </c>
      <c r="Z198">
        <v>128.5</v>
      </c>
      <c r="AA198">
        <v>141.19999999999999</v>
      </c>
      <c r="AB198">
        <v>128.19999999999999</v>
      </c>
      <c r="AC198">
        <v>129.5</v>
      </c>
      <c r="AD198">
        <v>136.19999999999999</v>
      </c>
      <c r="AE198">
        <f t="shared" si="33"/>
        <v>138.4</v>
      </c>
      <c r="AF198">
        <f t="shared" si="34"/>
        <v>142.5</v>
      </c>
      <c r="AG198">
        <f t="shared" si="35"/>
        <v>141.19999999999999</v>
      </c>
      <c r="AH198">
        <f t="shared" si="36"/>
        <v>126.5</v>
      </c>
      <c r="AI198">
        <f t="shared" si="37"/>
        <v>132.6</v>
      </c>
      <c r="AJ198">
        <f t="shared" si="38"/>
        <v>120.4</v>
      </c>
      <c r="AK198">
        <f t="shared" si="39"/>
        <v>132.80000000000001</v>
      </c>
      <c r="AL198">
        <f t="shared" si="40"/>
        <v>128.5</v>
      </c>
      <c r="AM198">
        <f t="shared" si="41"/>
        <v>161</v>
      </c>
      <c r="AN198">
        <f t="shared" si="42"/>
        <v>131.30000000000001</v>
      </c>
      <c r="AO198">
        <f t="shared" si="43"/>
        <v>135.51999999999998</v>
      </c>
    </row>
    <row r="199" spans="1:41" hidden="1" x14ac:dyDescent="0.45">
      <c r="A199" t="s">
        <v>34</v>
      </c>
      <c r="B199">
        <v>2018</v>
      </c>
      <c r="C199" t="s">
        <v>39</v>
      </c>
      <c r="D199">
        <v>142.5</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138.1</v>
      </c>
      <c r="W199">
        <v>137.9</v>
      </c>
      <c r="X199">
        <v>136.19999999999999</v>
      </c>
      <c r="Y199">
        <v>123.7</v>
      </c>
      <c r="Z199">
        <v>132.6</v>
      </c>
      <c r="AA199">
        <v>142.80000000000001</v>
      </c>
      <c r="AB199">
        <v>130.1</v>
      </c>
      <c r="AC199">
        <v>132.6</v>
      </c>
      <c r="AD199">
        <v>138.5</v>
      </c>
      <c r="AE199">
        <f t="shared" si="33"/>
        <v>139.4</v>
      </c>
      <c r="AF199">
        <f t="shared" si="34"/>
        <v>142.5</v>
      </c>
      <c r="AG199">
        <f t="shared" si="35"/>
        <v>142.80000000000001</v>
      </c>
      <c r="AH199">
        <f t="shared" si="36"/>
        <v>138.1</v>
      </c>
      <c r="AI199">
        <f t="shared" si="37"/>
        <v>136.19999999999999</v>
      </c>
      <c r="AJ199">
        <f t="shared" si="38"/>
        <v>123.7</v>
      </c>
      <c r="AK199">
        <f t="shared" si="39"/>
        <v>137.64999999999998</v>
      </c>
      <c r="AL199">
        <f t="shared" si="40"/>
        <v>132.6</v>
      </c>
      <c r="AM199">
        <f t="shared" si="41"/>
        <v>158.30000000000001</v>
      </c>
      <c r="AN199">
        <f t="shared" si="42"/>
        <v>135.25</v>
      </c>
      <c r="AO199">
        <f t="shared" si="43"/>
        <v>138.65</v>
      </c>
    </row>
    <row r="200" spans="1:41" hidden="1" x14ac:dyDescent="0.45">
      <c r="A200" t="s">
        <v>30</v>
      </c>
      <c r="B200">
        <v>2018</v>
      </c>
      <c r="C200" t="s">
        <v>40</v>
      </c>
      <c r="D200" t="s">
        <v>32</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v>146.80000000000001</v>
      </c>
      <c r="W200">
        <v>143.1</v>
      </c>
      <c r="X200">
        <v>139</v>
      </c>
      <c r="Y200">
        <v>127.5</v>
      </c>
      <c r="Z200">
        <v>138.4</v>
      </c>
      <c r="AA200">
        <v>145.80000000000001</v>
      </c>
      <c r="AB200">
        <v>131.4</v>
      </c>
      <c r="AC200">
        <v>136</v>
      </c>
      <c r="AD200">
        <v>141.80000000000001</v>
      </c>
      <c r="AE200">
        <f t="shared" si="33"/>
        <v>142</v>
      </c>
      <c r="AF200" t="str">
        <f t="shared" si="34"/>
        <v>NA</v>
      </c>
      <c r="AG200">
        <f t="shared" si="35"/>
        <v>145.80000000000001</v>
      </c>
      <c r="AH200">
        <f t="shared" si="36"/>
        <v>146.80000000000001</v>
      </c>
      <c r="AI200">
        <f t="shared" si="37"/>
        <v>139</v>
      </c>
      <c r="AJ200">
        <f t="shared" si="38"/>
        <v>127.5</v>
      </c>
      <c r="AK200">
        <f t="shared" si="39"/>
        <v>141</v>
      </c>
      <c r="AL200">
        <f t="shared" si="40"/>
        <v>138.4</v>
      </c>
      <c r="AM200">
        <f t="shared" si="41"/>
        <v>156.1</v>
      </c>
      <c r="AN200">
        <f t="shared" si="42"/>
        <v>139.55000000000001</v>
      </c>
      <c r="AO200">
        <f t="shared" si="43"/>
        <v>141.79444444444442</v>
      </c>
    </row>
    <row r="201" spans="1:41" hidden="1" x14ac:dyDescent="0.45">
      <c r="A201" t="s">
        <v>33</v>
      </c>
      <c r="B201">
        <v>2018</v>
      </c>
      <c r="C201" t="s">
        <v>40</v>
      </c>
      <c r="D201">
        <v>143.6</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128.1</v>
      </c>
      <c r="W201">
        <v>133.6</v>
      </c>
      <c r="X201">
        <v>133.6</v>
      </c>
      <c r="Y201">
        <v>120.1</v>
      </c>
      <c r="Z201">
        <v>129</v>
      </c>
      <c r="AA201">
        <v>144</v>
      </c>
      <c r="AB201">
        <v>128.19999999999999</v>
      </c>
      <c r="AC201">
        <v>130.19999999999999</v>
      </c>
      <c r="AD201">
        <v>137.5</v>
      </c>
      <c r="AE201">
        <f t="shared" si="33"/>
        <v>140.30000000000001</v>
      </c>
      <c r="AF201">
        <f t="shared" si="34"/>
        <v>143.6</v>
      </c>
      <c r="AG201">
        <f t="shared" si="35"/>
        <v>144</v>
      </c>
      <c r="AH201">
        <f t="shared" si="36"/>
        <v>128.1</v>
      </c>
      <c r="AI201">
        <f t="shared" si="37"/>
        <v>133.6</v>
      </c>
      <c r="AJ201">
        <f t="shared" si="38"/>
        <v>120.1</v>
      </c>
      <c r="AK201">
        <f t="shared" si="39"/>
        <v>133.05000000000001</v>
      </c>
      <c r="AL201">
        <f t="shared" si="40"/>
        <v>129</v>
      </c>
      <c r="AM201">
        <f t="shared" si="41"/>
        <v>161.4</v>
      </c>
      <c r="AN201">
        <f t="shared" si="42"/>
        <v>131.89999999999998</v>
      </c>
      <c r="AO201">
        <f t="shared" si="43"/>
        <v>136.50500000000002</v>
      </c>
    </row>
    <row r="202" spans="1:41" hidden="1" x14ac:dyDescent="0.45">
      <c r="A202" t="s">
        <v>34</v>
      </c>
      <c r="B202">
        <v>2018</v>
      </c>
      <c r="C202" t="s">
        <v>40</v>
      </c>
      <c r="D202">
        <v>143.6</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139.69999999999999</v>
      </c>
      <c r="W202">
        <v>138.6</v>
      </c>
      <c r="X202">
        <v>137</v>
      </c>
      <c r="Y202">
        <v>123.6</v>
      </c>
      <c r="Z202">
        <v>133.1</v>
      </c>
      <c r="AA202">
        <v>144.69999999999999</v>
      </c>
      <c r="AB202">
        <v>130.1</v>
      </c>
      <c r="AC202">
        <v>133.19999999999999</v>
      </c>
      <c r="AD202">
        <v>139.80000000000001</v>
      </c>
      <c r="AE202">
        <f t="shared" si="33"/>
        <v>141.4</v>
      </c>
      <c r="AF202">
        <f t="shared" si="34"/>
        <v>143.6</v>
      </c>
      <c r="AG202">
        <f t="shared" si="35"/>
        <v>144.69999999999999</v>
      </c>
      <c r="AH202">
        <f t="shared" si="36"/>
        <v>139.69999999999999</v>
      </c>
      <c r="AI202">
        <f t="shared" si="37"/>
        <v>137</v>
      </c>
      <c r="AJ202">
        <f t="shared" si="38"/>
        <v>123.6</v>
      </c>
      <c r="AK202">
        <f t="shared" si="39"/>
        <v>137.85</v>
      </c>
      <c r="AL202">
        <f t="shared" si="40"/>
        <v>133.1</v>
      </c>
      <c r="AM202">
        <f t="shared" si="41"/>
        <v>157.5</v>
      </c>
      <c r="AN202">
        <f t="shared" si="42"/>
        <v>135.89999999999998</v>
      </c>
      <c r="AO202">
        <f t="shared" si="43"/>
        <v>139.435</v>
      </c>
    </row>
    <row r="203" spans="1:41" hidden="1" x14ac:dyDescent="0.45">
      <c r="A203" t="s">
        <v>30</v>
      </c>
      <c r="B203">
        <v>2018</v>
      </c>
      <c r="C203" t="s">
        <v>41</v>
      </c>
      <c r="D203" t="s">
        <v>32</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v>147.69999999999999</v>
      </c>
      <c r="W203">
        <v>143.80000000000001</v>
      </c>
      <c r="X203">
        <v>139.4</v>
      </c>
      <c r="Y203">
        <v>128.30000000000001</v>
      </c>
      <c r="Z203">
        <v>138.6</v>
      </c>
      <c r="AA203">
        <v>146.9</v>
      </c>
      <c r="AB203">
        <v>131.30000000000001</v>
      </c>
      <c r="AC203">
        <v>136.6</v>
      </c>
      <c r="AD203">
        <v>142.5</v>
      </c>
      <c r="AE203">
        <f t="shared" si="33"/>
        <v>142.69999999999999</v>
      </c>
      <c r="AF203" t="str">
        <f t="shared" si="34"/>
        <v>NA</v>
      </c>
      <c r="AG203">
        <f t="shared" si="35"/>
        <v>146.9</v>
      </c>
      <c r="AH203">
        <f t="shared" si="36"/>
        <v>147.69999999999999</v>
      </c>
      <c r="AI203">
        <f t="shared" si="37"/>
        <v>139.4</v>
      </c>
      <c r="AJ203">
        <f t="shared" si="38"/>
        <v>128.30000000000001</v>
      </c>
      <c r="AK203">
        <f t="shared" si="39"/>
        <v>141.30000000000001</v>
      </c>
      <c r="AL203">
        <f t="shared" si="40"/>
        <v>138.6</v>
      </c>
      <c r="AM203">
        <f t="shared" si="41"/>
        <v>156.4</v>
      </c>
      <c r="AN203">
        <f t="shared" si="42"/>
        <v>140.19999999999999</v>
      </c>
      <c r="AO203">
        <f t="shared" si="43"/>
        <v>142.38888888888889</v>
      </c>
    </row>
    <row r="204" spans="1:41" hidden="1" x14ac:dyDescent="0.45">
      <c r="A204" t="s">
        <v>33</v>
      </c>
      <c r="B204">
        <v>2018</v>
      </c>
      <c r="C204" t="s">
        <v>41</v>
      </c>
      <c r="D204">
        <v>144.6</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129.80000000000001</v>
      </c>
      <c r="W204">
        <v>134.4</v>
      </c>
      <c r="X204">
        <v>134.9</v>
      </c>
      <c r="Y204">
        <v>120.7</v>
      </c>
      <c r="Z204">
        <v>129.80000000000001</v>
      </c>
      <c r="AA204">
        <v>145.30000000000001</v>
      </c>
      <c r="AB204">
        <v>128.30000000000001</v>
      </c>
      <c r="AC204">
        <v>131</v>
      </c>
      <c r="AD204">
        <v>138</v>
      </c>
      <c r="AE204">
        <f t="shared" si="33"/>
        <v>140.1</v>
      </c>
      <c r="AF204">
        <f t="shared" si="34"/>
        <v>144.6</v>
      </c>
      <c r="AG204">
        <f t="shared" si="35"/>
        <v>145.30000000000001</v>
      </c>
      <c r="AH204">
        <f t="shared" si="36"/>
        <v>129.80000000000001</v>
      </c>
      <c r="AI204">
        <f t="shared" si="37"/>
        <v>134.9</v>
      </c>
      <c r="AJ204">
        <f t="shared" si="38"/>
        <v>120.7</v>
      </c>
      <c r="AK204">
        <f t="shared" si="39"/>
        <v>133.30000000000001</v>
      </c>
      <c r="AL204">
        <f t="shared" si="40"/>
        <v>129.80000000000001</v>
      </c>
      <c r="AM204">
        <f t="shared" si="41"/>
        <v>162.1</v>
      </c>
      <c r="AN204">
        <f t="shared" si="42"/>
        <v>132.69999999999999</v>
      </c>
      <c r="AO204">
        <f t="shared" si="43"/>
        <v>137.32999999999998</v>
      </c>
    </row>
    <row r="205" spans="1:41" hidden="1" x14ac:dyDescent="0.45">
      <c r="A205" t="s">
        <v>34</v>
      </c>
      <c r="B205">
        <v>2018</v>
      </c>
      <c r="C205" t="s">
        <v>41</v>
      </c>
      <c r="D205">
        <v>144.6</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140.9</v>
      </c>
      <c r="W205">
        <v>139.4</v>
      </c>
      <c r="X205">
        <v>137.69999999999999</v>
      </c>
      <c r="Y205">
        <v>124.3</v>
      </c>
      <c r="Z205">
        <v>133.6</v>
      </c>
      <c r="AA205">
        <v>146</v>
      </c>
      <c r="AB205">
        <v>130.1</v>
      </c>
      <c r="AC205">
        <v>133.9</v>
      </c>
      <c r="AD205">
        <v>140.4</v>
      </c>
      <c r="AE205">
        <f t="shared" si="33"/>
        <v>141.69999999999999</v>
      </c>
      <c r="AF205">
        <f t="shared" si="34"/>
        <v>144.6</v>
      </c>
      <c r="AG205">
        <f t="shared" si="35"/>
        <v>146</v>
      </c>
      <c r="AH205">
        <f t="shared" si="36"/>
        <v>140.9</v>
      </c>
      <c r="AI205">
        <f t="shared" si="37"/>
        <v>137.69999999999999</v>
      </c>
      <c r="AJ205">
        <f t="shared" si="38"/>
        <v>124.3</v>
      </c>
      <c r="AK205">
        <f t="shared" si="39"/>
        <v>138.1</v>
      </c>
      <c r="AL205">
        <f t="shared" si="40"/>
        <v>133.6</v>
      </c>
      <c r="AM205">
        <f t="shared" si="41"/>
        <v>157.9</v>
      </c>
      <c r="AN205">
        <f t="shared" si="42"/>
        <v>136.65</v>
      </c>
      <c r="AO205">
        <f t="shared" si="43"/>
        <v>140.14500000000001</v>
      </c>
    </row>
    <row r="206" spans="1:41" hidden="1" x14ac:dyDescent="0.45">
      <c r="A206" t="s">
        <v>30</v>
      </c>
      <c r="B206">
        <v>2018</v>
      </c>
      <c r="C206" t="s">
        <v>42</v>
      </c>
      <c r="D206" t="s">
        <v>32</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v>149</v>
      </c>
      <c r="W206">
        <v>144</v>
      </c>
      <c r="X206">
        <v>140</v>
      </c>
      <c r="Y206">
        <v>129.9</v>
      </c>
      <c r="Z206">
        <v>140</v>
      </c>
      <c r="AA206">
        <v>147.6</v>
      </c>
      <c r="AB206">
        <v>132</v>
      </c>
      <c r="AC206">
        <v>137.4</v>
      </c>
      <c r="AD206">
        <v>142.1</v>
      </c>
      <c r="AE206">
        <f t="shared" si="33"/>
        <v>141.30000000000001</v>
      </c>
      <c r="AF206" t="str">
        <f t="shared" si="34"/>
        <v>NA</v>
      </c>
      <c r="AG206">
        <f t="shared" si="35"/>
        <v>147.6</v>
      </c>
      <c r="AH206">
        <f t="shared" si="36"/>
        <v>149</v>
      </c>
      <c r="AI206">
        <f t="shared" si="37"/>
        <v>140</v>
      </c>
      <c r="AJ206">
        <f t="shared" si="38"/>
        <v>129.9</v>
      </c>
      <c r="AK206">
        <f t="shared" si="39"/>
        <v>141.65</v>
      </c>
      <c r="AL206">
        <f t="shared" si="40"/>
        <v>140</v>
      </c>
      <c r="AM206">
        <f t="shared" si="41"/>
        <v>157.69999999999999</v>
      </c>
      <c r="AN206">
        <f t="shared" si="42"/>
        <v>140.69999999999999</v>
      </c>
      <c r="AO206">
        <f t="shared" si="43"/>
        <v>143.09444444444443</v>
      </c>
    </row>
    <row r="207" spans="1:41" hidden="1" x14ac:dyDescent="0.45">
      <c r="A207" t="s">
        <v>33</v>
      </c>
      <c r="B207">
        <v>2018</v>
      </c>
      <c r="C207" t="s">
        <v>42</v>
      </c>
      <c r="D207">
        <v>145.30000000000001</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131.19999999999999</v>
      </c>
      <c r="W207">
        <v>134.9</v>
      </c>
      <c r="X207">
        <v>135.69999999999999</v>
      </c>
      <c r="Y207">
        <v>122.5</v>
      </c>
      <c r="Z207">
        <v>130.19999999999999</v>
      </c>
      <c r="AA207">
        <v>145.19999999999999</v>
      </c>
      <c r="AB207">
        <v>129.30000000000001</v>
      </c>
      <c r="AC207">
        <v>131.9</v>
      </c>
      <c r="AD207">
        <v>138.1</v>
      </c>
      <c r="AE207">
        <f t="shared" si="33"/>
        <v>138.9</v>
      </c>
      <c r="AF207">
        <f t="shared" si="34"/>
        <v>145.30000000000001</v>
      </c>
      <c r="AG207">
        <f t="shared" si="35"/>
        <v>145.19999999999999</v>
      </c>
      <c r="AH207">
        <f t="shared" si="36"/>
        <v>131.19999999999999</v>
      </c>
      <c r="AI207">
        <f t="shared" si="37"/>
        <v>135.69999999999999</v>
      </c>
      <c r="AJ207">
        <f t="shared" si="38"/>
        <v>122.5</v>
      </c>
      <c r="AK207">
        <f t="shared" si="39"/>
        <v>134.19999999999999</v>
      </c>
      <c r="AL207">
        <f t="shared" si="40"/>
        <v>130.19999999999999</v>
      </c>
      <c r="AM207">
        <f t="shared" si="41"/>
        <v>163.30000000000001</v>
      </c>
      <c r="AN207">
        <f t="shared" si="42"/>
        <v>133.4</v>
      </c>
      <c r="AO207">
        <f t="shared" si="43"/>
        <v>137.99</v>
      </c>
    </row>
    <row r="208" spans="1:41" hidden="1" x14ac:dyDescent="0.45">
      <c r="A208" t="s">
        <v>34</v>
      </c>
      <c r="B208">
        <v>2018</v>
      </c>
      <c r="C208" t="s">
        <v>42</v>
      </c>
      <c r="D208">
        <v>145.30000000000001</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142.30000000000001</v>
      </c>
      <c r="W208">
        <v>139.69999999999999</v>
      </c>
      <c r="X208">
        <v>138.4</v>
      </c>
      <c r="Y208">
        <v>126</v>
      </c>
      <c r="Z208">
        <v>134.5</v>
      </c>
      <c r="AA208">
        <v>146.19999999999999</v>
      </c>
      <c r="AB208">
        <v>130.9</v>
      </c>
      <c r="AC208">
        <v>134.69999999999999</v>
      </c>
      <c r="AD208">
        <v>140.19999999999999</v>
      </c>
      <c r="AE208">
        <f t="shared" si="33"/>
        <v>140.4</v>
      </c>
      <c r="AF208">
        <f t="shared" si="34"/>
        <v>145.30000000000001</v>
      </c>
      <c r="AG208">
        <f t="shared" si="35"/>
        <v>146.19999999999999</v>
      </c>
      <c r="AH208">
        <f t="shared" si="36"/>
        <v>142.30000000000001</v>
      </c>
      <c r="AI208">
        <f t="shared" si="37"/>
        <v>138.4</v>
      </c>
      <c r="AJ208">
        <f t="shared" si="38"/>
        <v>126</v>
      </c>
      <c r="AK208">
        <f t="shared" si="39"/>
        <v>138.69999999999999</v>
      </c>
      <c r="AL208">
        <f t="shared" si="40"/>
        <v>134.5</v>
      </c>
      <c r="AM208">
        <f t="shared" si="41"/>
        <v>159.19999999999999</v>
      </c>
      <c r="AN208">
        <f t="shared" si="42"/>
        <v>137.19999999999999</v>
      </c>
      <c r="AO208">
        <f t="shared" si="43"/>
        <v>140.82</v>
      </c>
    </row>
    <row r="209" spans="1:41" hidden="1" x14ac:dyDescent="0.45">
      <c r="A209" t="s">
        <v>30</v>
      </c>
      <c r="B209">
        <v>2018</v>
      </c>
      <c r="C209" t="s">
        <v>43</v>
      </c>
      <c r="D209" t="s">
        <v>32</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v>149.69999999999999</v>
      </c>
      <c r="W209">
        <v>147.5</v>
      </c>
      <c r="X209">
        <v>144.80000000000001</v>
      </c>
      <c r="Y209">
        <v>130.80000000000001</v>
      </c>
      <c r="Z209">
        <v>140.1</v>
      </c>
      <c r="AA209">
        <v>148</v>
      </c>
      <c r="AB209">
        <v>134.4</v>
      </c>
      <c r="AC209">
        <v>139.80000000000001</v>
      </c>
      <c r="AD209">
        <v>142.19999999999999</v>
      </c>
      <c r="AE209">
        <f t="shared" si="33"/>
        <v>140.19999999999999</v>
      </c>
      <c r="AF209" t="str">
        <f t="shared" si="34"/>
        <v>NA</v>
      </c>
      <c r="AG209">
        <f t="shared" si="35"/>
        <v>148</v>
      </c>
      <c r="AH209">
        <f t="shared" si="36"/>
        <v>149.69999999999999</v>
      </c>
      <c r="AI209">
        <f t="shared" si="37"/>
        <v>144.80000000000001</v>
      </c>
      <c r="AJ209">
        <f t="shared" si="38"/>
        <v>130.80000000000001</v>
      </c>
      <c r="AK209">
        <f t="shared" si="39"/>
        <v>142.10000000000002</v>
      </c>
      <c r="AL209">
        <f t="shared" si="40"/>
        <v>140.1</v>
      </c>
      <c r="AM209">
        <f t="shared" si="41"/>
        <v>159.6</v>
      </c>
      <c r="AN209">
        <f t="shared" si="42"/>
        <v>143.65</v>
      </c>
      <c r="AO209">
        <f t="shared" si="43"/>
        <v>144.32777777777778</v>
      </c>
    </row>
    <row r="210" spans="1:41" hidden="1" x14ac:dyDescent="0.45">
      <c r="A210" t="s">
        <v>33</v>
      </c>
      <c r="B210">
        <v>2018</v>
      </c>
      <c r="C210" t="s">
        <v>43</v>
      </c>
      <c r="D210">
        <v>146.30000000000001</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133.4</v>
      </c>
      <c r="W210">
        <v>135.1</v>
      </c>
      <c r="X210">
        <v>136.19999999999999</v>
      </c>
      <c r="Y210">
        <v>123.3</v>
      </c>
      <c r="Z210">
        <v>130.69999999999999</v>
      </c>
      <c r="AA210">
        <v>145.5</v>
      </c>
      <c r="AB210">
        <v>130.4</v>
      </c>
      <c r="AC210">
        <v>132.5</v>
      </c>
      <c r="AD210">
        <v>138.9</v>
      </c>
      <c r="AE210">
        <f t="shared" si="33"/>
        <v>139.4</v>
      </c>
      <c r="AF210">
        <f t="shared" si="34"/>
        <v>146.30000000000001</v>
      </c>
      <c r="AG210">
        <f t="shared" si="35"/>
        <v>145.5</v>
      </c>
      <c r="AH210">
        <f t="shared" si="36"/>
        <v>133.4</v>
      </c>
      <c r="AI210">
        <f t="shared" si="37"/>
        <v>136.19999999999999</v>
      </c>
      <c r="AJ210">
        <f t="shared" si="38"/>
        <v>123.3</v>
      </c>
      <c r="AK210">
        <f t="shared" si="39"/>
        <v>135.05000000000001</v>
      </c>
      <c r="AL210">
        <f t="shared" si="40"/>
        <v>130.69999999999999</v>
      </c>
      <c r="AM210">
        <f t="shared" si="41"/>
        <v>164</v>
      </c>
      <c r="AN210">
        <f t="shared" si="42"/>
        <v>133.80000000000001</v>
      </c>
      <c r="AO210">
        <f t="shared" si="43"/>
        <v>138.76499999999999</v>
      </c>
    </row>
    <row r="211" spans="1:41" hidden="1" x14ac:dyDescent="0.45">
      <c r="A211" t="s">
        <v>34</v>
      </c>
      <c r="B211">
        <v>2018</v>
      </c>
      <c r="C211" t="s">
        <v>43</v>
      </c>
      <c r="D211">
        <v>146.9</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145.30000000000001</v>
      </c>
      <c r="W211">
        <v>142.19999999999999</v>
      </c>
      <c r="X211">
        <v>142.1</v>
      </c>
      <c r="Y211">
        <v>125.5</v>
      </c>
      <c r="Z211">
        <v>136.5</v>
      </c>
      <c r="AA211">
        <v>147.80000000000001</v>
      </c>
      <c r="AB211">
        <v>132</v>
      </c>
      <c r="AC211">
        <v>136.30000000000001</v>
      </c>
      <c r="AD211">
        <v>140.80000000000001</v>
      </c>
      <c r="AE211">
        <f t="shared" si="33"/>
        <v>139.69999999999999</v>
      </c>
      <c r="AF211">
        <f t="shared" si="34"/>
        <v>146.9</v>
      </c>
      <c r="AG211">
        <f t="shared" si="35"/>
        <v>147.80000000000001</v>
      </c>
      <c r="AH211">
        <f t="shared" si="36"/>
        <v>145.30000000000001</v>
      </c>
      <c r="AI211">
        <f t="shared" si="37"/>
        <v>142.1</v>
      </c>
      <c r="AJ211">
        <f t="shared" si="38"/>
        <v>125.5</v>
      </c>
      <c r="AK211">
        <f t="shared" si="39"/>
        <v>139.4</v>
      </c>
      <c r="AL211">
        <f t="shared" si="40"/>
        <v>136.5</v>
      </c>
      <c r="AM211">
        <f t="shared" si="41"/>
        <v>162.6</v>
      </c>
      <c r="AN211">
        <f t="shared" si="42"/>
        <v>139.25</v>
      </c>
      <c r="AO211">
        <f t="shared" si="43"/>
        <v>142.505</v>
      </c>
    </row>
    <row r="212" spans="1:41" hidden="1" x14ac:dyDescent="0.45">
      <c r="A212" t="s">
        <v>30</v>
      </c>
      <c r="B212">
        <v>2018</v>
      </c>
      <c r="C212" t="s">
        <v>45</v>
      </c>
      <c r="D212" t="s">
        <v>32</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v>150.30000000000001</v>
      </c>
      <c r="W212">
        <v>148</v>
      </c>
      <c r="X212">
        <v>145.4</v>
      </c>
      <c r="Y212">
        <v>130.30000000000001</v>
      </c>
      <c r="Z212">
        <v>143.1</v>
      </c>
      <c r="AA212">
        <v>150.19999999999999</v>
      </c>
      <c r="AB212">
        <v>133.1</v>
      </c>
      <c r="AC212">
        <v>140.1</v>
      </c>
      <c r="AD212">
        <v>142.4</v>
      </c>
      <c r="AE212">
        <f t="shared" si="33"/>
        <v>140</v>
      </c>
      <c r="AF212" t="str">
        <f t="shared" si="34"/>
        <v>NA</v>
      </c>
      <c r="AG212">
        <f t="shared" si="35"/>
        <v>150.19999999999999</v>
      </c>
      <c r="AH212">
        <f t="shared" si="36"/>
        <v>150.30000000000001</v>
      </c>
      <c r="AI212">
        <f t="shared" si="37"/>
        <v>145.4</v>
      </c>
      <c r="AJ212">
        <f t="shared" si="38"/>
        <v>130.30000000000001</v>
      </c>
      <c r="AK212">
        <f t="shared" si="39"/>
        <v>141.94999999999999</v>
      </c>
      <c r="AL212">
        <f t="shared" si="40"/>
        <v>143.1</v>
      </c>
      <c r="AM212">
        <f t="shared" si="41"/>
        <v>161.9</v>
      </c>
      <c r="AN212">
        <f t="shared" si="42"/>
        <v>144.05000000000001</v>
      </c>
      <c r="AO212">
        <f t="shared" si="43"/>
        <v>145.24444444444444</v>
      </c>
    </row>
    <row r="213" spans="1:41" hidden="1" x14ac:dyDescent="0.45">
      <c r="A213" t="s">
        <v>33</v>
      </c>
      <c r="B213">
        <v>2018</v>
      </c>
      <c r="C213" t="s">
        <v>45</v>
      </c>
      <c r="D213">
        <v>146.9</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136.69999999999999</v>
      </c>
      <c r="W213">
        <v>135.80000000000001</v>
      </c>
      <c r="X213">
        <v>136.80000000000001</v>
      </c>
      <c r="Y213">
        <v>121.2</v>
      </c>
      <c r="Z213">
        <v>131.30000000000001</v>
      </c>
      <c r="AA213">
        <v>146.1</v>
      </c>
      <c r="AB213">
        <v>130.5</v>
      </c>
      <c r="AC213">
        <v>132.19999999999999</v>
      </c>
      <c r="AD213">
        <v>139</v>
      </c>
      <c r="AE213">
        <f t="shared" si="33"/>
        <v>139.1</v>
      </c>
      <c r="AF213">
        <f t="shared" si="34"/>
        <v>146.9</v>
      </c>
      <c r="AG213">
        <f t="shared" si="35"/>
        <v>146.1</v>
      </c>
      <c r="AH213">
        <f t="shared" si="36"/>
        <v>136.69999999999999</v>
      </c>
      <c r="AI213">
        <f t="shared" si="37"/>
        <v>136.80000000000001</v>
      </c>
      <c r="AJ213">
        <f t="shared" si="38"/>
        <v>121.2</v>
      </c>
      <c r="AK213">
        <f t="shared" si="39"/>
        <v>135.5</v>
      </c>
      <c r="AL213">
        <f t="shared" si="40"/>
        <v>131.30000000000001</v>
      </c>
      <c r="AM213">
        <f t="shared" si="41"/>
        <v>164.4</v>
      </c>
      <c r="AN213">
        <f t="shared" si="42"/>
        <v>134</v>
      </c>
      <c r="AO213">
        <f t="shared" si="43"/>
        <v>139.19999999999999</v>
      </c>
    </row>
    <row r="214" spans="1:41" hidden="1" x14ac:dyDescent="0.45">
      <c r="A214" t="s">
        <v>34</v>
      </c>
      <c r="B214">
        <v>2018</v>
      </c>
      <c r="C214" t="s">
        <v>45</v>
      </c>
      <c r="D214">
        <v>146.9</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145.1</v>
      </c>
      <c r="W214">
        <v>142.19999999999999</v>
      </c>
      <c r="X214">
        <v>142.1</v>
      </c>
      <c r="Y214">
        <v>125.5</v>
      </c>
      <c r="Z214">
        <v>136.5</v>
      </c>
      <c r="AA214">
        <v>147.80000000000001</v>
      </c>
      <c r="AB214">
        <v>132</v>
      </c>
      <c r="AC214">
        <v>136.30000000000001</v>
      </c>
      <c r="AD214">
        <v>140.80000000000001</v>
      </c>
      <c r="AE214">
        <f t="shared" si="33"/>
        <v>139.69999999999999</v>
      </c>
      <c r="AF214">
        <f t="shared" si="34"/>
        <v>146.9</v>
      </c>
      <c r="AG214">
        <f t="shared" si="35"/>
        <v>147.80000000000001</v>
      </c>
      <c r="AH214">
        <f t="shared" si="36"/>
        <v>145.1</v>
      </c>
      <c r="AI214">
        <f t="shared" si="37"/>
        <v>142.1</v>
      </c>
      <c r="AJ214">
        <f t="shared" si="38"/>
        <v>125.5</v>
      </c>
      <c r="AK214">
        <f t="shared" si="39"/>
        <v>139.35</v>
      </c>
      <c r="AL214">
        <f t="shared" si="40"/>
        <v>136.5</v>
      </c>
      <c r="AM214">
        <f t="shared" si="41"/>
        <v>162.6</v>
      </c>
      <c r="AN214">
        <f t="shared" si="42"/>
        <v>139.25</v>
      </c>
      <c r="AO214">
        <f t="shared" si="43"/>
        <v>142.47999999999999</v>
      </c>
    </row>
    <row r="215" spans="1:41" hidden="1" x14ac:dyDescent="0.45">
      <c r="A215" t="s">
        <v>30</v>
      </c>
      <c r="B215">
        <v>2018</v>
      </c>
      <c r="C215" t="s">
        <v>46</v>
      </c>
      <c r="D215" t="s">
        <v>32</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v>149</v>
      </c>
      <c r="W215">
        <v>149.5</v>
      </c>
      <c r="X215">
        <v>149.6</v>
      </c>
      <c r="Y215">
        <v>128.9</v>
      </c>
      <c r="Z215">
        <v>143.30000000000001</v>
      </c>
      <c r="AA215">
        <v>155.1</v>
      </c>
      <c r="AB215">
        <v>133.19999999999999</v>
      </c>
      <c r="AC215">
        <v>141.6</v>
      </c>
      <c r="AD215">
        <v>141.9</v>
      </c>
      <c r="AE215">
        <f t="shared" si="33"/>
        <v>138.5</v>
      </c>
      <c r="AF215" t="str">
        <f t="shared" si="34"/>
        <v>NA</v>
      </c>
      <c r="AG215">
        <f t="shared" si="35"/>
        <v>155.1</v>
      </c>
      <c r="AH215">
        <f t="shared" si="36"/>
        <v>149</v>
      </c>
      <c r="AI215">
        <f t="shared" si="37"/>
        <v>149.6</v>
      </c>
      <c r="AJ215">
        <f t="shared" si="38"/>
        <v>128.9</v>
      </c>
      <c r="AK215">
        <f t="shared" si="39"/>
        <v>142</v>
      </c>
      <c r="AL215">
        <f t="shared" si="40"/>
        <v>143.30000000000001</v>
      </c>
      <c r="AM215">
        <f t="shared" si="41"/>
        <v>162.4</v>
      </c>
      <c r="AN215">
        <f t="shared" si="42"/>
        <v>145.55000000000001</v>
      </c>
      <c r="AO215">
        <f t="shared" si="43"/>
        <v>146.03888888888889</v>
      </c>
    </row>
    <row r="216" spans="1:41" hidden="1" x14ac:dyDescent="0.45">
      <c r="A216" t="s">
        <v>33</v>
      </c>
      <c r="B216">
        <v>2018</v>
      </c>
      <c r="C216" t="s">
        <v>46</v>
      </c>
      <c r="D216">
        <v>146.5</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132.4</v>
      </c>
      <c r="W216">
        <v>136.19999999999999</v>
      </c>
      <c r="X216">
        <v>137.30000000000001</v>
      </c>
      <c r="Y216">
        <v>118.8</v>
      </c>
      <c r="Z216">
        <v>131.69999999999999</v>
      </c>
      <c r="AA216">
        <v>146.5</v>
      </c>
      <c r="AB216">
        <v>130.80000000000001</v>
      </c>
      <c r="AC216">
        <v>131.69999999999999</v>
      </c>
      <c r="AD216">
        <v>138</v>
      </c>
      <c r="AE216">
        <f t="shared" si="33"/>
        <v>137.6</v>
      </c>
      <c r="AF216">
        <f t="shared" si="34"/>
        <v>146.5</v>
      </c>
      <c r="AG216">
        <f t="shared" si="35"/>
        <v>146.5</v>
      </c>
      <c r="AH216">
        <f t="shared" si="36"/>
        <v>132.4</v>
      </c>
      <c r="AI216">
        <f t="shared" si="37"/>
        <v>137.30000000000001</v>
      </c>
      <c r="AJ216">
        <f t="shared" si="38"/>
        <v>118.8</v>
      </c>
      <c r="AK216">
        <f t="shared" si="39"/>
        <v>135.80000000000001</v>
      </c>
      <c r="AL216">
        <f t="shared" si="40"/>
        <v>131.69999999999999</v>
      </c>
      <c r="AM216">
        <f t="shared" si="41"/>
        <v>164.6</v>
      </c>
      <c r="AN216">
        <f t="shared" si="42"/>
        <v>133.94999999999999</v>
      </c>
      <c r="AO216">
        <f t="shared" si="43"/>
        <v>138.51499999999999</v>
      </c>
    </row>
    <row r="217" spans="1:41" hidden="1" x14ac:dyDescent="0.45">
      <c r="A217" t="s">
        <v>34</v>
      </c>
      <c r="B217">
        <v>2018</v>
      </c>
      <c r="C217" t="s">
        <v>46</v>
      </c>
      <c r="D217">
        <v>146.5</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142.69999999999999</v>
      </c>
      <c r="W217">
        <v>143.19999999999999</v>
      </c>
      <c r="X217">
        <v>144.9</v>
      </c>
      <c r="Y217">
        <v>123.6</v>
      </c>
      <c r="Z217">
        <v>136.80000000000001</v>
      </c>
      <c r="AA217">
        <v>150.1</v>
      </c>
      <c r="AB217">
        <v>132.19999999999999</v>
      </c>
      <c r="AC217">
        <v>136.80000000000001</v>
      </c>
      <c r="AD217">
        <v>140.1</v>
      </c>
      <c r="AE217">
        <f t="shared" si="33"/>
        <v>138.19999999999999</v>
      </c>
      <c r="AF217">
        <f t="shared" si="34"/>
        <v>146.5</v>
      </c>
      <c r="AG217">
        <f t="shared" si="35"/>
        <v>150.1</v>
      </c>
      <c r="AH217">
        <f t="shared" si="36"/>
        <v>142.69999999999999</v>
      </c>
      <c r="AI217">
        <f t="shared" si="37"/>
        <v>144.9</v>
      </c>
      <c r="AJ217">
        <f t="shared" si="38"/>
        <v>123.6</v>
      </c>
      <c r="AK217">
        <f t="shared" si="39"/>
        <v>139.5</v>
      </c>
      <c r="AL217">
        <f t="shared" si="40"/>
        <v>136.80000000000001</v>
      </c>
      <c r="AM217">
        <f t="shared" si="41"/>
        <v>163</v>
      </c>
      <c r="AN217">
        <f t="shared" si="42"/>
        <v>140</v>
      </c>
      <c r="AO217">
        <f t="shared" si="43"/>
        <v>142.53</v>
      </c>
    </row>
    <row r="218" spans="1:41" hidden="1" x14ac:dyDescent="0.45">
      <c r="A218" t="s">
        <v>30</v>
      </c>
      <c r="B218">
        <v>2019</v>
      </c>
      <c r="C218" t="s">
        <v>31</v>
      </c>
      <c r="D218" t="s">
        <v>32</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v>146.19999999999999</v>
      </c>
      <c r="W218">
        <v>150.1</v>
      </c>
      <c r="X218">
        <v>149.6</v>
      </c>
      <c r="Y218">
        <v>128.6</v>
      </c>
      <c r="Z218">
        <v>142.9</v>
      </c>
      <c r="AA218">
        <v>155.19999999999999</v>
      </c>
      <c r="AB218">
        <v>133.5</v>
      </c>
      <c r="AC218">
        <v>141.69999999999999</v>
      </c>
      <c r="AD218">
        <v>141</v>
      </c>
      <c r="AE218">
        <f t="shared" si="33"/>
        <v>137.4</v>
      </c>
      <c r="AF218" t="str">
        <f t="shared" si="34"/>
        <v>NA</v>
      </c>
      <c r="AG218">
        <f t="shared" si="35"/>
        <v>155.19999999999999</v>
      </c>
      <c r="AH218">
        <f t="shared" si="36"/>
        <v>146.19999999999999</v>
      </c>
      <c r="AI218">
        <f t="shared" si="37"/>
        <v>149.6</v>
      </c>
      <c r="AJ218">
        <f t="shared" si="38"/>
        <v>128.6</v>
      </c>
      <c r="AK218">
        <f t="shared" si="39"/>
        <v>141.69999999999999</v>
      </c>
      <c r="AL218">
        <f t="shared" si="40"/>
        <v>142.9</v>
      </c>
      <c r="AM218">
        <f t="shared" si="41"/>
        <v>162.69999999999999</v>
      </c>
      <c r="AN218">
        <f t="shared" si="42"/>
        <v>145.89999999999998</v>
      </c>
      <c r="AO218">
        <f t="shared" si="43"/>
        <v>145.57777777777775</v>
      </c>
    </row>
    <row r="219" spans="1:41" hidden="1" x14ac:dyDescent="0.45">
      <c r="A219" t="s">
        <v>33</v>
      </c>
      <c r="B219">
        <v>2019</v>
      </c>
      <c r="C219" t="s">
        <v>31</v>
      </c>
      <c r="D219">
        <v>147.69999999999999</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128.6</v>
      </c>
      <c r="W219">
        <v>136.30000000000001</v>
      </c>
      <c r="X219">
        <v>137.80000000000001</v>
      </c>
      <c r="Y219">
        <v>118.6</v>
      </c>
      <c r="Z219">
        <v>131.9</v>
      </c>
      <c r="AA219">
        <v>146.6</v>
      </c>
      <c r="AB219">
        <v>131.69999999999999</v>
      </c>
      <c r="AC219">
        <v>131.80000000000001</v>
      </c>
      <c r="AD219">
        <v>138</v>
      </c>
      <c r="AE219">
        <f t="shared" si="33"/>
        <v>137.30000000000001</v>
      </c>
      <c r="AF219">
        <f t="shared" si="34"/>
        <v>147.69999999999999</v>
      </c>
      <c r="AG219">
        <f t="shared" si="35"/>
        <v>146.6</v>
      </c>
      <c r="AH219">
        <f t="shared" si="36"/>
        <v>128.6</v>
      </c>
      <c r="AI219">
        <f t="shared" si="37"/>
        <v>137.80000000000001</v>
      </c>
      <c r="AJ219">
        <f t="shared" si="38"/>
        <v>118.6</v>
      </c>
      <c r="AK219">
        <f t="shared" si="39"/>
        <v>136.39999999999998</v>
      </c>
      <c r="AL219">
        <f t="shared" si="40"/>
        <v>131.9</v>
      </c>
      <c r="AM219">
        <f t="shared" si="41"/>
        <v>164.7</v>
      </c>
      <c r="AN219">
        <f t="shared" si="42"/>
        <v>134.05000000000001</v>
      </c>
      <c r="AO219">
        <f t="shared" si="43"/>
        <v>138.36500000000001</v>
      </c>
    </row>
    <row r="220" spans="1:41" hidden="1" x14ac:dyDescent="0.45">
      <c r="A220" t="s">
        <v>34</v>
      </c>
      <c r="B220">
        <v>2019</v>
      </c>
      <c r="C220" t="s">
        <v>31</v>
      </c>
      <c r="D220">
        <v>147.69999999999999</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139.5</v>
      </c>
      <c r="W220">
        <v>143.6</v>
      </c>
      <c r="X220">
        <v>145.1</v>
      </c>
      <c r="Y220">
        <v>123.3</v>
      </c>
      <c r="Z220">
        <v>136.69999999999999</v>
      </c>
      <c r="AA220">
        <v>150.19999999999999</v>
      </c>
      <c r="AB220">
        <v>132.80000000000001</v>
      </c>
      <c r="AC220">
        <v>136.9</v>
      </c>
      <c r="AD220">
        <v>139.6</v>
      </c>
      <c r="AE220">
        <f t="shared" si="33"/>
        <v>137.4</v>
      </c>
      <c r="AF220">
        <f t="shared" si="34"/>
        <v>147.69999999999999</v>
      </c>
      <c r="AG220">
        <f t="shared" si="35"/>
        <v>150.19999999999999</v>
      </c>
      <c r="AH220">
        <f t="shared" si="36"/>
        <v>139.5</v>
      </c>
      <c r="AI220">
        <f t="shared" si="37"/>
        <v>145.1</v>
      </c>
      <c r="AJ220">
        <f t="shared" si="38"/>
        <v>123.3</v>
      </c>
      <c r="AK220">
        <f t="shared" si="39"/>
        <v>139.60000000000002</v>
      </c>
      <c r="AL220">
        <f t="shared" si="40"/>
        <v>136.69999999999999</v>
      </c>
      <c r="AM220">
        <f t="shared" si="41"/>
        <v>163.19999999999999</v>
      </c>
      <c r="AN220">
        <f t="shared" si="42"/>
        <v>140.25</v>
      </c>
      <c r="AO220">
        <f t="shared" si="43"/>
        <v>142.29500000000002</v>
      </c>
    </row>
    <row r="221" spans="1:41" hidden="1" x14ac:dyDescent="0.45">
      <c r="A221" t="s">
        <v>30</v>
      </c>
      <c r="B221">
        <v>2019</v>
      </c>
      <c r="C221" t="s">
        <v>35</v>
      </c>
      <c r="D221" t="s">
        <v>32</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v>145.30000000000001</v>
      </c>
      <c r="W221">
        <v>150.1</v>
      </c>
      <c r="X221">
        <v>149.9</v>
      </c>
      <c r="Y221">
        <v>129.19999999999999</v>
      </c>
      <c r="Z221">
        <v>143.4</v>
      </c>
      <c r="AA221">
        <v>155.5</v>
      </c>
      <c r="AB221">
        <v>134.9</v>
      </c>
      <c r="AC221">
        <v>142.19999999999999</v>
      </c>
      <c r="AD221">
        <v>141</v>
      </c>
      <c r="AE221">
        <f t="shared" si="33"/>
        <v>137.19999999999999</v>
      </c>
      <c r="AF221" t="str">
        <f t="shared" si="34"/>
        <v>NA</v>
      </c>
      <c r="AG221">
        <f t="shared" si="35"/>
        <v>155.5</v>
      </c>
      <c r="AH221">
        <f t="shared" si="36"/>
        <v>145.30000000000001</v>
      </c>
      <c r="AI221">
        <f t="shared" si="37"/>
        <v>149.9</v>
      </c>
      <c r="AJ221">
        <f t="shared" si="38"/>
        <v>129.19999999999999</v>
      </c>
      <c r="AK221">
        <f t="shared" si="39"/>
        <v>142.4</v>
      </c>
      <c r="AL221">
        <f t="shared" si="40"/>
        <v>143.4</v>
      </c>
      <c r="AM221">
        <f t="shared" si="41"/>
        <v>162.80000000000001</v>
      </c>
      <c r="AN221">
        <f t="shared" si="42"/>
        <v>146.14999999999998</v>
      </c>
      <c r="AO221">
        <f t="shared" si="43"/>
        <v>145.76111111111109</v>
      </c>
    </row>
    <row r="222" spans="1:41" hidden="1" x14ac:dyDescent="0.45">
      <c r="A222" t="s">
        <v>33</v>
      </c>
      <c r="B222">
        <v>2019</v>
      </c>
      <c r="C222" t="s">
        <v>35</v>
      </c>
      <c r="D222">
        <v>148.5</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127.1</v>
      </c>
      <c r="W222">
        <v>136.6</v>
      </c>
      <c r="X222">
        <v>138.5</v>
      </c>
      <c r="Y222">
        <v>119.2</v>
      </c>
      <c r="Z222">
        <v>132.19999999999999</v>
      </c>
      <c r="AA222">
        <v>146.6</v>
      </c>
      <c r="AB222">
        <v>133</v>
      </c>
      <c r="AC222">
        <v>132.4</v>
      </c>
      <c r="AD222">
        <v>138.6</v>
      </c>
      <c r="AE222">
        <f t="shared" si="33"/>
        <v>138</v>
      </c>
      <c r="AF222">
        <f t="shared" si="34"/>
        <v>148.5</v>
      </c>
      <c r="AG222">
        <f t="shared" si="35"/>
        <v>146.6</v>
      </c>
      <c r="AH222">
        <f t="shared" si="36"/>
        <v>127.1</v>
      </c>
      <c r="AI222">
        <f t="shared" si="37"/>
        <v>138.5</v>
      </c>
      <c r="AJ222">
        <f t="shared" si="38"/>
        <v>119.2</v>
      </c>
      <c r="AK222">
        <f t="shared" si="39"/>
        <v>137.19999999999999</v>
      </c>
      <c r="AL222">
        <f t="shared" si="40"/>
        <v>132.19999999999999</v>
      </c>
      <c r="AM222">
        <f t="shared" si="41"/>
        <v>164.9</v>
      </c>
      <c r="AN222">
        <f t="shared" si="42"/>
        <v>134.5</v>
      </c>
      <c r="AO222">
        <f t="shared" si="43"/>
        <v>138.67000000000002</v>
      </c>
    </row>
    <row r="223" spans="1:41" hidden="1" x14ac:dyDescent="0.45">
      <c r="A223" t="s">
        <v>34</v>
      </c>
      <c r="B223">
        <v>2019</v>
      </c>
      <c r="C223" t="s">
        <v>35</v>
      </c>
      <c r="D223">
        <v>148.5</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138.4</v>
      </c>
      <c r="W223">
        <v>143.69999999999999</v>
      </c>
      <c r="X223">
        <v>145.6</v>
      </c>
      <c r="Y223">
        <v>123.9</v>
      </c>
      <c r="Z223">
        <v>137.1</v>
      </c>
      <c r="AA223">
        <v>150.30000000000001</v>
      </c>
      <c r="AB223">
        <v>134.1</v>
      </c>
      <c r="AC223">
        <v>137.4</v>
      </c>
      <c r="AD223">
        <v>139.9</v>
      </c>
      <c r="AE223">
        <f t="shared" si="33"/>
        <v>137.5</v>
      </c>
      <c r="AF223">
        <f t="shared" si="34"/>
        <v>148.5</v>
      </c>
      <c r="AG223">
        <f t="shared" si="35"/>
        <v>150.30000000000001</v>
      </c>
      <c r="AH223">
        <f t="shared" si="36"/>
        <v>138.4</v>
      </c>
      <c r="AI223">
        <f t="shared" si="37"/>
        <v>145.6</v>
      </c>
      <c r="AJ223">
        <f t="shared" si="38"/>
        <v>123.9</v>
      </c>
      <c r="AK223">
        <f t="shared" si="39"/>
        <v>140.30000000000001</v>
      </c>
      <c r="AL223">
        <f t="shared" si="40"/>
        <v>137.1</v>
      </c>
      <c r="AM223">
        <f t="shared" si="41"/>
        <v>163.4</v>
      </c>
      <c r="AN223">
        <f t="shared" si="42"/>
        <v>140.55000000000001</v>
      </c>
      <c r="AO223">
        <f t="shared" si="43"/>
        <v>142.55500000000001</v>
      </c>
    </row>
    <row r="224" spans="1:41" hidden="1" x14ac:dyDescent="0.45">
      <c r="A224" t="s">
        <v>30</v>
      </c>
      <c r="B224">
        <v>2019</v>
      </c>
      <c r="C224" t="s">
        <v>36</v>
      </c>
      <c r="D224" t="s">
        <v>32</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v>146.4</v>
      </c>
      <c r="W224">
        <v>150</v>
      </c>
      <c r="X224">
        <v>150.4</v>
      </c>
      <c r="Y224">
        <v>129.9</v>
      </c>
      <c r="Z224">
        <v>143.80000000000001</v>
      </c>
      <c r="AA224">
        <v>155.5</v>
      </c>
      <c r="AB224">
        <v>134</v>
      </c>
      <c r="AC224">
        <v>142.4</v>
      </c>
      <c r="AD224">
        <v>141.19999999999999</v>
      </c>
      <c r="AE224">
        <f t="shared" si="33"/>
        <v>137.30000000000001</v>
      </c>
      <c r="AF224" t="str">
        <f t="shared" si="34"/>
        <v>NA</v>
      </c>
      <c r="AG224">
        <f t="shared" si="35"/>
        <v>155.5</v>
      </c>
      <c r="AH224">
        <f t="shared" si="36"/>
        <v>146.4</v>
      </c>
      <c r="AI224">
        <f t="shared" si="37"/>
        <v>150.4</v>
      </c>
      <c r="AJ224">
        <f t="shared" si="38"/>
        <v>129.9</v>
      </c>
      <c r="AK224">
        <f t="shared" si="39"/>
        <v>142.05000000000001</v>
      </c>
      <c r="AL224">
        <f t="shared" si="40"/>
        <v>143.80000000000001</v>
      </c>
      <c r="AM224">
        <f t="shared" si="41"/>
        <v>162.9</v>
      </c>
      <c r="AN224">
        <f t="shared" si="42"/>
        <v>146.19999999999999</v>
      </c>
      <c r="AO224">
        <f t="shared" si="43"/>
        <v>146.05000000000001</v>
      </c>
    </row>
    <row r="225" spans="1:41" hidden="1" x14ac:dyDescent="0.45">
      <c r="A225" t="s">
        <v>33</v>
      </c>
      <c r="B225">
        <v>2019</v>
      </c>
      <c r="C225" t="s">
        <v>36</v>
      </c>
      <c r="D225">
        <v>149</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128.80000000000001</v>
      </c>
      <c r="W225">
        <v>136.80000000000001</v>
      </c>
      <c r="X225">
        <v>139.19999999999999</v>
      </c>
      <c r="Y225">
        <v>119.9</v>
      </c>
      <c r="Z225">
        <v>133</v>
      </c>
      <c r="AA225">
        <v>146.69999999999999</v>
      </c>
      <c r="AB225">
        <v>132.5</v>
      </c>
      <c r="AC225">
        <v>132.80000000000001</v>
      </c>
      <c r="AD225">
        <v>139.5</v>
      </c>
      <c r="AE225">
        <f t="shared" si="33"/>
        <v>139.6</v>
      </c>
      <c r="AF225">
        <f t="shared" si="34"/>
        <v>149</v>
      </c>
      <c r="AG225">
        <f t="shared" si="35"/>
        <v>146.69999999999999</v>
      </c>
      <c r="AH225">
        <f t="shared" si="36"/>
        <v>128.80000000000001</v>
      </c>
      <c r="AI225">
        <f t="shared" si="37"/>
        <v>139.19999999999999</v>
      </c>
      <c r="AJ225">
        <f t="shared" si="38"/>
        <v>119.9</v>
      </c>
      <c r="AK225">
        <f t="shared" si="39"/>
        <v>137.05000000000001</v>
      </c>
      <c r="AL225">
        <f t="shared" si="40"/>
        <v>133</v>
      </c>
      <c r="AM225">
        <f t="shared" si="41"/>
        <v>165.3</v>
      </c>
      <c r="AN225">
        <f t="shared" si="42"/>
        <v>134.80000000000001</v>
      </c>
      <c r="AO225">
        <f t="shared" si="43"/>
        <v>139.33499999999998</v>
      </c>
    </row>
    <row r="226" spans="1:41" hidden="1" x14ac:dyDescent="0.45">
      <c r="A226" t="s">
        <v>34</v>
      </c>
      <c r="B226">
        <v>2019</v>
      </c>
      <c r="C226" t="s">
        <v>36</v>
      </c>
      <c r="D226">
        <v>149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139.69999999999999</v>
      </c>
      <c r="W226">
        <v>143.80000000000001</v>
      </c>
      <c r="X226">
        <v>146.19999999999999</v>
      </c>
      <c r="Y226">
        <v>124.6</v>
      </c>
      <c r="Z226">
        <v>137.69999999999999</v>
      </c>
      <c r="AA226">
        <v>150.30000000000001</v>
      </c>
      <c r="AB226">
        <v>133.4</v>
      </c>
      <c r="AC226">
        <v>137.69999999999999</v>
      </c>
      <c r="AD226">
        <v>140.4</v>
      </c>
      <c r="AE226">
        <f t="shared" si="33"/>
        <v>138.1</v>
      </c>
      <c r="AF226">
        <f t="shared" si="34"/>
        <v>149</v>
      </c>
      <c r="AG226">
        <f t="shared" si="35"/>
        <v>150.30000000000001</v>
      </c>
      <c r="AH226">
        <f t="shared" si="36"/>
        <v>139.69999999999999</v>
      </c>
      <c r="AI226">
        <f t="shared" si="37"/>
        <v>146.19999999999999</v>
      </c>
      <c r="AJ226">
        <f t="shared" si="38"/>
        <v>124.6</v>
      </c>
      <c r="AK226">
        <f t="shared" si="39"/>
        <v>140.05000000000001</v>
      </c>
      <c r="AL226">
        <f t="shared" si="40"/>
        <v>137.69999999999999</v>
      </c>
      <c r="AM226">
        <f t="shared" si="41"/>
        <v>163.5</v>
      </c>
      <c r="AN226">
        <f t="shared" si="42"/>
        <v>140.75</v>
      </c>
      <c r="AO226">
        <f t="shared" si="43"/>
        <v>142.99</v>
      </c>
    </row>
    <row r="227" spans="1:41" hidden="1" x14ac:dyDescent="0.45">
      <c r="A227" t="s">
        <v>30</v>
      </c>
      <c r="B227">
        <v>2019</v>
      </c>
      <c r="C227" t="s">
        <v>38</v>
      </c>
      <c r="D227" t="s">
        <v>32</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v>146.9</v>
      </c>
      <c r="W227">
        <v>149.5</v>
      </c>
      <c r="X227">
        <v>151.30000000000001</v>
      </c>
      <c r="Y227">
        <v>130.19999999999999</v>
      </c>
      <c r="Z227">
        <v>145.9</v>
      </c>
      <c r="AA227">
        <v>156.69999999999999</v>
      </c>
      <c r="AB227">
        <v>133.9</v>
      </c>
      <c r="AC227">
        <v>142.9</v>
      </c>
      <c r="AD227">
        <v>142.4</v>
      </c>
      <c r="AE227">
        <f t="shared" si="33"/>
        <v>139.19999999999999</v>
      </c>
      <c r="AF227" t="str">
        <f t="shared" si="34"/>
        <v>NA</v>
      </c>
      <c r="AG227">
        <f t="shared" si="35"/>
        <v>156.69999999999999</v>
      </c>
      <c r="AH227">
        <f t="shared" si="36"/>
        <v>146.9</v>
      </c>
      <c r="AI227">
        <f t="shared" si="37"/>
        <v>151.30000000000001</v>
      </c>
      <c r="AJ227">
        <f t="shared" si="38"/>
        <v>130.19999999999999</v>
      </c>
      <c r="AK227">
        <f t="shared" si="39"/>
        <v>142.30000000000001</v>
      </c>
      <c r="AL227">
        <f t="shared" si="40"/>
        <v>145.9</v>
      </c>
      <c r="AM227">
        <f t="shared" si="41"/>
        <v>163.30000000000001</v>
      </c>
      <c r="AN227">
        <f t="shared" si="42"/>
        <v>146.19999999999999</v>
      </c>
      <c r="AO227">
        <f t="shared" si="43"/>
        <v>146.88888888888889</v>
      </c>
    </row>
    <row r="228" spans="1:41" hidden="1" x14ac:dyDescent="0.45">
      <c r="A228" t="s">
        <v>33</v>
      </c>
      <c r="B228">
        <v>2019</v>
      </c>
      <c r="C228" t="s">
        <v>38</v>
      </c>
      <c r="D228">
        <v>150.1</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129.4</v>
      </c>
      <c r="W228">
        <v>137.19999999999999</v>
      </c>
      <c r="X228">
        <v>139.80000000000001</v>
      </c>
      <c r="Y228">
        <v>120.1</v>
      </c>
      <c r="Z228">
        <v>134</v>
      </c>
      <c r="AA228">
        <v>148</v>
      </c>
      <c r="AB228">
        <v>132.6</v>
      </c>
      <c r="AC228">
        <v>133.30000000000001</v>
      </c>
      <c r="AD228">
        <v>141.5</v>
      </c>
      <c r="AE228">
        <f t="shared" si="33"/>
        <v>143.80000000000001</v>
      </c>
      <c r="AF228">
        <f t="shared" si="34"/>
        <v>150.1</v>
      </c>
      <c r="AG228">
        <f t="shared" si="35"/>
        <v>148</v>
      </c>
      <c r="AH228">
        <f t="shared" si="36"/>
        <v>129.4</v>
      </c>
      <c r="AI228">
        <f t="shared" si="37"/>
        <v>139.80000000000001</v>
      </c>
      <c r="AJ228">
        <f t="shared" si="38"/>
        <v>120.1</v>
      </c>
      <c r="AK228">
        <f t="shared" si="39"/>
        <v>137.39999999999998</v>
      </c>
      <c r="AL228">
        <f t="shared" si="40"/>
        <v>134</v>
      </c>
      <c r="AM228">
        <f t="shared" si="41"/>
        <v>166.2</v>
      </c>
      <c r="AN228">
        <f t="shared" si="42"/>
        <v>135.25</v>
      </c>
      <c r="AO228">
        <f t="shared" si="43"/>
        <v>140.405</v>
      </c>
    </row>
    <row r="229" spans="1:41" hidden="1" x14ac:dyDescent="0.45">
      <c r="A229" t="s">
        <v>34</v>
      </c>
      <c r="B229">
        <v>2019</v>
      </c>
      <c r="C229" t="s">
        <v>38</v>
      </c>
      <c r="D229">
        <v>150.1</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140.30000000000001</v>
      </c>
      <c r="W229">
        <v>143.69999999999999</v>
      </c>
      <c r="X229">
        <v>146.9</v>
      </c>
      <c r="Y229">
        <v>124.9</v>
      </c>
      <c r="Z229">
        <v>139.19999999999999</v>
      </c>
      <c r="AA229">
        <v>151.6</v>
      </c>
      <c r="AB229">
        <v>133.4</v>
      </c>
      <c r="AC229">
        <v>138.19999999999999</v>
      </c>
      <c r="AD229">
        <v>142</v>
      </c>
      <c r="AE229">
        <f t="shared" si="33"/>
        <v>140.9</v>
      </c>
      <c r="AF229">
        <f t="shared" si="34"/>
        <v>150.1</v>
      </c>
      <c r="AG229">
        <f t="shared" si="35"/>
        <v>151.6</v>
      </c>
      <c r="AH229">
        <f t="shared" si="36"/>
        <v>140.30000000000001</v>
      </c>
      <c r="AI229">
        <f t="shared" si="37"/>
        <v>146.9</v>
      </c>
      <c r="AJ229">
        <f t="shared" si="38"/>
        <v>124.9</v>
      </c>
      <c r="AK229">
        <f t="shared" si="39"/>
        <v>140.35000000000002</v>
      </c>
      <c r="AL229">
        <f t="shared" si="40"/>
        <v>139.19999999999999</v>
      </c>
      <c r="AM229">
        <f t="shared" si="41"/>
        <v>164.1</v>
      </c>
      <c r="AN229">
        <f t="shared" si="42"/>
        <v>140.94999999999999</v>
      </c>
      <c r="AO229">
        <f t="shared" si="43"/>
        <v>143.93</v>
      </c>
    </row>
    <row r="230" spans="1:41" hidden="1" x14ac:dyDescent="0.45">
      <c r="A230" t="s">
        <v>30</v>
      </c>
      <c r="B230">
        <v>2019</v>
      </c>
      <c r="C230" t="s">
        <v>39</v>
      </c>
      <c r="D230" t="s">
        <v>32</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v>147.80000000000001</v>
      </c>
      <c r="W230">
        <v>149.6</v>
      </c>
      <c r="X230">
        <v>151.69999999999999</v>
      </c>
      <c r="Y230">
        <v>130.19999999999999</v>
      </c>
      <c r="Z230">
        <v>146.4</v>
      </c>
      <c r="AA230">
        <v>157.69999999999999</v>
      </c>
      <c r="AB230">
        <v>134.80000000000001</v>
      </c>
      <c r="AC230">
        <v>143.30000000000001</v>
      </c>
      <c r="AD230">
        <v>143.6</v>
      </c>
      <c r="AE230">
        <f t="shared" si="33"/>
        <v>141</v>
      </c>
      <c r="AF230" t="str">
        <f t="shared" si="34"/>
        <v>NA</v>
      </c>
      <c r="AG230">
        <f t="shared" si="35"/>
        <v>157.69999999999999</v>
      </c>
      <c r="AH230">
        <f t="shared" si="36"/>
        <v>147.80000000000001</v>
      </c>
      <c r="AI230">
        <f t="shared" si="37"/>
        <v>151.69999999999999</v>
      </c>
      <c r="AJ230">
        <f t="shared" si="38"/>
        <v>130.19999999999999</v>
      </c>
      <c r="AK230">
        <f t="shared" si="39"/>
        <v>142.75</v>
      </c>
      <c r="AL230">
        <f t="shared" si="40"/>
        <v>146.4</v>
      </c>
      <c r="AM230">
        <f t="shared" si="41"/>
        <v>164.2</v>
      </c>
      <c r="AN230">
        <f t="shared" si="42"/>
        <v>146.44999999999999</v>
      </c>
      <c r="AO230">
        <f t="shared" si="43"/>
        <v>147.57777777777778</v>
      </c>
    </row>
    <row r="231" spans="1:41" hidden="1" x14ac:dyDescent="0.45">
      <c r="A231" t="s">
        <v>33</v>
      </c>
      <c r="B231">
        <v>2019</v>
      </c>
      <c r="C231" t="s">
        <v>39</v>
      </c>
      <c r="D231">
        <v>149.4</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130.5</v>
      </c>
      <c r="W231">
        <v>137.4</v>
      </c>
      <c r="X231">
        <v>140.30000000000001</v>
      </c>
      <c r="Y231">
        <v>119.6</v>
      </c>
      <c r="Z231">
        <v>134.30000000000001</v>
      </c>
      <c r="AA231">
        <v>148.9</v>
      </c>
      <c r="AB231">
        <v>133.69999999999999</v>
      </c>
      <c r="AC231">
        <v>133.6</v>
      </c>
      <c r="AD231">
        <v>142.1</v>
      </c>
      <c r="AE231">
        <f t="shared" si="33"/>
        <v>145.6</v>
      </c>
      <c r="AF231">
        <f t="shared" si="34"/>
        <v>149.4</v>
      </c>
      <c r="AG231">
        <f t="shared" si="35"/>
        <v>148.9</v>
      </c>
      <c r="AH231">
        <f t="shared" si="36"/>
        <v>130.5</v>
      </c>
      <c r="AI231">
        <f t="shared" si="37"/>
        <v>140.30000000000001</v>
      </c>
      <c r="AJ231">
        <f t="shared" si="38"/>
        <v>119.6</v>
      </c>
      <c r="AK231">
        <f t="shared" si="39"/>
        <v>138.05000000000001</v>
      </c>
      <c r="AL231">
        <f t="shared" si="40"/>
        <v>134.30000000000001</v>
      </c>
      <c r="AM231">
        <f t="shared" si="41"/>
        <v>166.7</v>
      </c>
      <c r="AN231">
        <f t="shared" si="42"/>
        <v>135.5</v>
      </c>
      <c r="AO231">
        <f t="shared" si="43"/>
        <v>140.88500000000002</v>
      </c>
    </row>
    <row r="232" spans="1:41" hidden="1" x14ac:dyDescent="0.45">
      <c r="A232" t="s">
        <v>34</v>
      </c>
      <c r="B232">
        <v>2019</v>
      </c>
      <c r="C232" t="s">
        <v>39</v>
      </c>
      <c r="D232">
        <v>149.4</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141.19999999999999</v>
      </c>
      <c r="W232">
        <v>143.80000000000001</v>
      </c>
      <c r="X232">
        <v>147.4</v>
      </c>
      <c r="Y232">
        <v>124.6</v>
      </c>
      <c r="Z232">
        <v>139.6</v>
      </c>
      <c r="AA232">
        <v>152.5</v>
      </c>
      <c r="AB232">
        <v>134.30000000000001</v>
      </c>
      <c r="AC232">
        <v>138.6</v>
      </c>
      <c r="AD232">
        <v>142.9</v>
      </c>
      <c r="AE232">
        <f t="shared" si="33"/>
        <v>142.69999999999999</v>
      </c>
      <c r="AF232">
        <f t="shared" si="34"/>
        <v>149.4</v>
      </c>
      <c r="AG232">
        <f t="shared" si="35"/>
        <v>152.5</v>
      </c>
      <c r="AH232">
        <f t="shared" si="36"/>
        <v>141.19999999999999</v>
      </c>
      <c r="AI232">
        <f t="shared" si="37"/>
        <v>147.4</v>
      </c>
      <c r="AJ232">
        <f t="shared" si="38"/>
        <v>124.6</v>
      </c>
      <c r="AK232">
        <f t="shared" si="39"/>
        <v>140.85000000000002</v>
      </c>
      <c r="AL232">
        <f t="shared" si="40"/>
        <v>139.6</v>
      </c>
      <c r="AM232">
        <f t="shared" si="41"/>
        <v>164.9</v>
      </c>
      <c r="AN232">
        <f t="shared" si="42"/>
        <v>141.19999999999999</v>
      </c>
      <c r="AO232">
        <f t="shared" si="43"/>
        <v>144.435</v>
      </c>
    </row>
    <row r="233" spans="1:41" hidden="1" x14ac:dyDescent="0.45">
      <c r="A233" t="s">
        <v>30</v>
      </c>
      <c r="B233">
        <v>2019</v>
      </c>
      <c r="C233" t="s">
        <v>40</v>
      </c>
      <c r="D233" t="s">
        <v>32</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v>146.80000000000001</v>
      </c>
      <c r="W233">
        <v>150</v>
      </c>
      <c r="X233">
        <v>152.19999999999999</v>
      </c>
      <c r="Y233">
        <v>131.19999999999999</v>
      </c>
      <c r="Z233">
        <v>147.5</v>
      </c>
      <c r="AA233">
        <v>159.1</v>
      </c>
      <c r="AB233">
        <v>136.1</v>
      </c>
      <c r="AC233">
        <v>144.19999999999999</v>
      </c>
      <c r="AD233">
        <v>144.9</v>
      </c>
      <c r="AE233">
        <f t="shared" si="33"/>
        <v>143</v>
      </c>
      <c r="AF233" t="str">
        <f t="shared" si="34"/>
        <v>NA</v>
      </c>
      <c r="AG233">
        <f t="shared" si="35"/>
        <v>159.1</v>
      </c>
      <c r="AH233">
        <f t="shared" si="36"/>
        <v>146.80000000000001</v>
      </c>
      <c r="AI233">
        <f t="shared" si="37"/>
        <v>152.19999999999999</v>
      </c>
      <c r="AJ233">
        <f t="shared" si="38"/>
        <v>131.19999999999999</v>
      </c>
      <c r="AK233">
        <f t="shared" si="39"/>
        <v>143.5</v>
      </c>
      <c r="AL233">
        <f t="shared" si="40"/>
        <v>147.5</v>
      </c>
      <c r="AM233">
        <f t="shared" si="41"/>
        <v>164.5</v>
      </c>
      <c r="AN233">
        <f t="shared" si="42"/>
        <v>147.1</v>
      </c>
      <c r="AO233">
        <f t="shared" si="43"/>
        <v>148.32222222222219</v>
      </c>
    </row>
    <row r="234" spans="1:41" hidden="1" x14ac:dyDescent="0.45">
      <c r="A234" t="s">
        <v>33</v>
      </c>
      <c r="B234">
        <v>2019</v>
      </c>
      <c r="C234" t="s">
        <v>40</v>
      </c>
      <c r="D234">
        <v>150.6</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127</v>
      </c>
      <c r="W234">
        <v>137.69999999999999</v>
      </c>
      <c r="X234">
        <v>140.80000000000001</v>
      </c>
      <c r="Y234">
        <v>120.6</v>
      </c>
      <c r="Z234">
        <v>135</v>
      </c>
      <c r="AA234">
        <v>150.4</v>
      </c>
      <c r="AB234">
        <v>135.1</v>
      </c>
      <c r="AC234">
        <v>134.5</v>
      </c>
      <c r="AD234">
        <v>143.30000000000001</v>
      </c>
      <c r="AE234">
        <f t="shared" si="33"/>
        <v>147.69999999999999</v>
      </c>
      <c r="AF234">
        <f t="shared" si="34"/>
        <v>150.6</v>
      </c>
      <c r="AG234">
        <f t="shared" si="35"/>
        <v>150.4</v>
      </c>
      <c r="AH234">
        <f t="shared" si="36"/>
        <v>127</v>
      </c>
      <c r="AI234">
        <f t="shared" si="37"/>
        <v>140.80000000000001</v>
      </c>
      <c r="AJ234">
        <f t="shared" si="38"/>
        <v>120.6</v>
      </c>
      <c r="AK234">
        <f t="shared" si="39"/>
        <v>138.89999999999998</v>
      </c>
      <c r="AL234">
        <f t="shared" si="40"/>
        <v>135</v>
      </c>
      <c r="AM234">
        <f t="shared" si="41"/>
        <v>167.2</v>
      </c>
      <c r="AN234">
        <f t="shared" si="42"/>
        <v>136.1</v>
      </c>
      <c r="AO234">
        <f t="shared" si="43"/>
        <v>141.43</v>
      </c>
    </row>
    <row r="235" spans="1:41" hidden="1" x14ac:dyDescent="0.45">
      <c r="A235" t="s">
        <v>34</v>
      </c>
      <c r="B235">
        <v>2019</v>
      </c>
      <c r="C235" t="s">
        <v>40</v>
      </c>
      <c r="D235">
        <v>150.6</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139.30000000000001</v>
      </c>
      <c r="W235">
        <v>144.19999999999999</v>
      </c>
      <c r="X235">
        <v>147.9</v>
      </c>
      <c r="Y235">
        <v>125.6</v>
      </c>
      <c r="Z235">
        <v>140.5</v>
      </c>
      <c r="AA235">
        <v>154</v>
      </c>
      <c r="AB235">
        <v>135.69999999999999</v>
      </c>
      <c r="AC235">
        <v>139.5</v>
      </c>
      <c r="AD235">
        <v>144.19999999999999</v>
      </c>
      <c r="AE235">
        <f t="shared" si="33"/>
        <v>144.69999999999999</v>
      </c>
      <c r="AF235">
        <f t="shared" si="34"/>
        <v>150.6</v>
      </c>
      <c r="AG235">
        <f t="shared" si="35"/>
        <v>154</v>
      </c>
      <c r="AH235">
        <f t="shared" si="36"/>
        <v>139.30000000000001</v>
      </c>
      <c r="AI235">
        <f t="shared" si="37"/>
        <v>147.9</v>
      </c>
      <c r="AJ235">
        <f t="shared" si="38"/>
        <v>125.6</v>
      </c>
      <c r="AK235">
        <f t="shared" si="39"/>
        <v>141.64999999999998</v>
      </c>
      <c r="AL235">
        <f t="shared" si="40"/>
        <v>140.5</v>
      </c>
      <c r="AM235">
        <f t="shared" si="41"/>
        <v>165.2</v>
      </c>
      <c r="AN235">
        <f t="shared" si="42"/>
        <v>141.85</v>
      </c>
      <c r="AO235">
        <f t="shared" si="43"/>
        <v>145.13</v>
      </c>
    </row>
    <row r="236" spans="1:41" hidden="1" x14ac:dyDescent="0.45">
      <c r="A236" t="s">
        <v>30</v>
      </c>
      <c r="B236">
        <v>2019</v>
      </c>
      <c r="C236" t="s">
        <v>41</v>
      </c>
      <c r="D236" t="s">
        <v>32</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v>146.4</v>
      </c>
      <c r="W236">
        <v>150.19999999999999</v>
      </c>
      <c r="X236">
        <v>152.69999999999999</v>
      </c>
      <c r="Y236">
        <v>131.4</v>
      </c>
      <c r="Z236">
        <v>148</v>
      </c>
      <c r="AA236">
        <v>159.69999999999999</v>
      </c>
      <c r="AB236">
        <v>138.80000000000001</v>
      </c>
      <c r="AC236">
        <v>144.9</v>
      </c>
      <c r="AD236">
        <v>145.69999999999999</v>
      </c>
      <c r="AE236">
        <f t="shared" si="33"/>
        <v>144</v>
      </c>
      <c r="AF236" t="str">
        <f t="shared" si="34"/>
        <v>NA</v>
      </c>
      <c r="AG236">
        <f t="shared" si="35"/>
        <v>159.69999999999999</v>
      </c>
      <c r="AH236">
        <f t="shared" si="36"/>
        <v>146.4</v>
      </c>
      <c r="AI236">
        <f t="shared" si="37"/>
        <v>152.69999999999999</v>
      </c>
      <c r="AJ236">
        <f t="shared" si="38"/>
        <v>131.4</v>
      </c>
      <c r="AK236">
        <f t="shared" si="39"/>
        <v>144.94999999999999</v>
      </c>
      <c r="AL236">
        <f t="shared" si="40"/>
        <v>148</v>
      </c>
      <c r="AM236">
        <f t="shared" si="41"/>
        <v>165.1</v>
      </c>
      <c r="AN236">
        <f t="shared" si="42"/>
        <v>147.55000000000001</v>
      </c>
      <c r="AO236">
        <f t="shared" si="43"/>
        <v>148.86666666666665</v>
      </c>
    </row>
    <row r="237" spans="1:41" hidden="1" x14ac:dyDescent="0.45">
      <c r="A237" t="s">
        <v>33</v>
      </c>
      <c r="B237">
        <v>2019</v>
      </c>
      <c r="C237" t="s">
        <v>41</v>
      </c>
      <c r="D237">
        <v>151.6</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125.5</v>
      </c>
      <c r="W237">
        <v>138.1</v>
      </c>
      <c r="X237">
        <v>141.5</v>
      </c>
      <c r="Y237">
        <v>120.8</v>
      </c>
      <c r="Z237">
        <v>135.4</v>
      </c>
      <c r="AA237">
        <v>151.5</v>
      </c>
      <c r="AB237">
        <v>137.80000000000001</v>
      </c>
      <c r="AC237">
        <v>135.30000000000001</v>
      </c>
      <c r="AD237">
        <v>144.19999999999999</v>
      </c>
      <c r="AE237">
        <f t="shared" si="33"/>
        <v>149.1</v>
      </c>
      <c r="AF237">
        <f t="shared" si="34"/>
        <v>151.6</v>
      </c>
      <c r="AG237">
        <f t="shared" si="35"/>
        <v>151.5</v>
      </c>
      <c r="AH237">
        <f t="shared" si="36"/>
        <v>125.5</v>
      </c>
      <c r="AI237">
        <f t="shared" si="37"/>
        <v>141.5</v>
      </c>
      <c r="AJ237">
        <f t="shared" si="38"/>
        <v>120.8</v>
      </c>
      <c r="AK237">
        <f t="shared" si="39"/>
        <v>140.4</v>
      </c>
      <c r="AL237">
        <f t="shared" si="40"/>
        <v>135.4</v>
      </c>
      <c r="AM237">
        <f t="shared" si="41"/>
        <v>167.9</v>
      </c>
      <c r="AN237">
        <f t="shared" si="42"/>
        <v>136.69999999999999</v>
      </c>
      <c r="AO237">
        <f t="shared" si="43"/>
        <v>142.04000000000002</v>
      </c>
    </row>
    <row r="238" spans="1:41" hidden="1" x14ac:dyDescent="0.45">
      <c r="A238" t="s">
        <v>34</v>
      </c>
      <c r="B238">
        <v>2019</v>
      </c>
      <c r="C238" t="s">
        <v>41</v>
      </c>
      <c r="D238">
        <v>151.6</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138.5</v>
      </c>
      <c r="W238">
        <v>144.5</v>
      </c>
      <c r="X238">
        <v>148.5</v>
      </c>
      <c r="Y238">
        <v>125.8</v>
      </c>
      <c r="Z238">
        <v>140.9</v>
      </c>
      <c r="AA238">
        <v>154.9</v>
      </c>
      <c r="AB238">
        <v>138.4</v>
      </c>
      <c r="AC238">
        <v>140.19999999999999</v>
      </c>
      <c r="AD238">
        <v>145</v>
      </c>
      <c r="AE238">
        <f t="shared" si="33"/>
        <v>145.9</v>
      </c>
      <c r="AF238">
        <f t="shared" si="34"/>
        <v>151.6</v>
      </c>
      <c r="AG238">
        <f t="shared" si="35"/>
        <v>154.9</v>
      </c>
      <c r="AH238">
        <f t="shared" si="36"/>
        <v>138.5</v>
      </c>
      <c r="AI238">
        <f t="shared" si="37"/>
        <v>148.5</v>
      </c>
      <c r="AJ238">
        <f t="shared" si="38"/>
        <v>125.8</v>
      </c>
      <c r="AK238">
        <f t="shared" si="39"/>
        <v>143.15</v>
      </c>
      <c r="AL238">
        <f t="shared" si="40"/>
        <v>140.9</v>
      </c>
      <c r="AM238">
        <f t="shared" si="41"/>
        <v>165.8</v>
      </c>
      <c r="AN238">
        <f t="shared" si="42"/>
        <v>142.35</v>
      </c>
      <c r="AO238">
        <f t="shared" si="43"/>
        <v>145.73999999999998</v>
      </c>
    </row>
    <row r="239" spans="1:41" hidden="1" x14ac:dyDescent="0.45">
      <c r="A239" t="s">
        <v>30</v>
      </c>
      <c r="B239">
        <v>2019</v>
      </c>
      <c r="C239" t="s">
        <v>42</v>
      </c>
      <c r="D239" t="s">
        <v>32</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v>146.9</v>
      </c>
      <c r="W239">
        <v>150.30000000000001</v>
      </c>
      <c r="X239">
        <v>153.4</v>
      </c>
      <c r="Y239">
        <v>131.6</v>
      </c>
      <c r="Z239">
        <v>148.30000000000001</v>
      </c>
      <c r="AA239">
        <v>160.19999999999999</v>
      </c>
      <c r="AB239">
        <v>140.19999999999999</v>
      </c>
      <c r="AC239">
        <v>145.4</v>
      </c>
      <c r="AD239">
        <v>146.69999999999999</v>
      </c>
      <c r="AE239">
        <f t="shared" si="33"/>
        <v>145.5</v>
      </c>
      <c r="AF239" t="str">
        <f t="shared" si="34"/>
        <v>NA</v>
      </c>
      <c r="AG239">
        <f t="shared" si="35"/>
        <v>160.19999999999999</v>
      </c>
      <c r="AH239">
        <f t="shared" si="36"/>
        <v>146.9</v>
      </c>
      <c r="AI239">
        <f t="shared" si="37"/>
        <v>153.4</v>
      </c>
      <c r="AJ239">
        <f t="shared" si="38"/>
        <v>131.6</v>
      </c>
      <c r="AK239">
        <f t="shared" si="39"/>
        <v>145.6</v>
      </c>
      <c r="AL239">
        <f t="shared" si="40"/>
        <v>148.30000000000001</v>
      </c>
      <c r="AM239">
        <f t="shared" si="41"/>
        <v>165.7</v>
      </c>
      <c r="AN239">
        <f t="shared" si="42"/>
        <v>147.85000000000002</v>
      </c>
      <c r="AO239">
        <f t="shared" si="43"/>
        <v>149.45000000000002</v>
      </c>
    </row>
    <row r="240" spans="1:41" hidden="1" x14ac:dyDescent="0.45">
      <c r="A240" t="s">
        <v>33</v>
      </c>
      <c r="B240">
        <v>2019</v>
      </c>
      <c r="C240" t="s">
        <v>42</v>
      </c>
      <c r="D240">
        <v>152.19999999999999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126.6</v>
      </c>
      <c r="W240">
        <v>138.30000000000001</v>
      </c>
      <c r="X240">
        <v>141.9</v>
      </c>
      <c r="Y240">
        <v>121.2</v>
      </c>
      <c r="Z240">
        <v>135.9</v>
      </c>
      <c r="AA240">
        <v>151.6</v>
      </c>
      <c r="AB240">
        <v>139</v>
      </c>
      <c r="AC240">
        <v>135.69999999999999</v>
      </c>
      <c r="AD240">
        <v>144.69999999999999</v>
      </c>
      <c r="AE240">
        <f t="shared" si="33"/>
        <v>149.5</v>
      </c>
      <c r="AF240">
        <f t="shared" si="34"/>
        <v>152.19999999999999</v>
      </c>
      <c r="AG240">
        <f t="shared" si="35"/>
        <v>151.6</v>
      </c>
      <c r="AH240">
        <f t="shared" si="36"/>
        <v>126.6</v>
      </c>
      <c r="AI240">
        <f t="shared" si="37"/>
        <v>141.9</v>
      </c>
      <c r="AJ240">
        <f t="shared" si="38"/>
        <v>121.2</v>
      </c>
      <c r="AK240">
        <f t="shared" si="39"/>
        <v>141.15</v>
      </c>
      <c r="AL240">
        <f t="shared" si="40"/>
        <v>135.9</v>
      </c>
      <c r="AM240">
        <f t="shared" si="41"/>
        <v>168.6</v>
      </c>
      <c r="AN240">
        <f t="shared" si="42"/>
        <v>137</v>
      </c>
      <c r="AO240">
        <f t="shared" si="43"/>
        <v>142.565</v>
      </c>
    </row>
    <row r="241" spans="1:41" hidden="1" x14ac:dyDescent="0.45">
      <c r="A241" t="s">
        <v>34</v>
      </c>
      <c r="B241">
        <v>2019</v>
      </c>
      <c r="C241" t="s">
        <v>42</v>
      </c>
      <c r="D241">
        <v>152.19999999999999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139.19999999999999</v>
      </c>
      <c r="W241">
        <v>144.6</v>
      </c>
      <c r="X241">
        <v>149</v>
      </c>
      <c r="Y241">
        <v>126.1</v>
      </c>
      <c r="Z241">
        <v>141.30000000000001</v>
      </c>
      <c r="AA241">
        <v>155.19999999999999</v>
      </c>
      <c r="AB241">
        <v>139.69999999999999</v>
      </c>
      <c r="AC241">
        <v>140.69999999999999</v>
      </c>
      <c r="AD241">
        <v>145.80000000000001</v>
      </c>
      <c r="AE241">
        <f t="shared" si="33"/>
        <v>147</v>
      </c>
      <c r="AF241">
        <f t="shared" si="34"/>
        <v>152.19999999999999</v>
      </c>
      <c r="AG241">
        <f t="shared" si="35"/>
        <v>155.19999999999999</v>
      </c>
      <c r="AH241">
        <f t="shared" si="36"/>
        <v>139.19999999999999</v>
      </c>
      <c r="AI241">
        <f t="shared" si="37"/>
        <v>149</v>
      </c>
      <c r="AJ241">
        <f t="shared" si="38"/>
        <v>126.1</v>
      </c>
      <c r="AK241">
        <f t="shared" si="39"/>
        <v>143.80000000000001</v>
      </c>
      <c r="AL241">
        <f t="shared" si="40"/>
        <v>141.30000000000001</v>
      </c>
      <c r="AM241">
        <f t="shared" si="41"/>
        <v>166.5</v>
      </c>
      <c r="AN241">
        <f t="shared" si="42"/>
        <v>142.64999999999998</v>
      </c>
      <c r="AO241">
        <f t="shared" si="43"/>
        <v>146.29499999999999</v>
      </c>
    </row>
    <row r="242" spans="1:41" hidden="1" x14ac:dyDescent="0.45">
      <c r="A242" t="s">
        <v>30</v>
      </c>
      <c r="B242">
        <v>2019</v>
      </c>
      <c r="C242" t="s">
        <v>43</v>
      </c>
      <c r="D242" t="s">
        <v>32</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v>147.69999999999999</v>
      </c>
      <c r="W242">
        <v>150.6</v>
      </c>
      <c r="X242">
        <v>153.69999999999999</v>
      </c>
      <c r="Y242">
        <v>131.69999999999999</v>
      </c>
      <c r="Z242">
        <v>148.69999999999999</v>
      </c>
      <c r="AA242">
        <v>160.69999999999999</v>
      </c>
      <c r="AB242">
        <v>140.30000000000001</v>
      </c>
      <c r="AC242">
        <v>145.69999999999999</v>
      </c>
      <c r="AD242">
        <v>148.30000000000001</v>
      </c>
      <c r="AE242">
        <f t="shared" si="33"/>
        <v>148.30000000000001</v>
      </c>
      <c r="AF242" t="str">
        <f t="shared" si="34"/>
        <v>NA</v>
      </c>
      <c r="AG242">
        <f t="shared" si="35"/>
        <v>160.69999999999999</v>
      </c>
      <c r="AH242">
        <f t="shared" si="36"/>
        <v>147.69999999999999</v>
      </c>
      <c r="AI242">
        <f t="shared" si="37"/>
        <v>153.69999999999999</v>
      </c>
      <c r="AJ242">
        <f t="shared" si="38"/>
        <v>131.69999999999999</v>
      </c>
      <c r="AK242">
        <f t="shared" si="39"/>
        <v>145.65</v>
      </c>
      <c r="AL242">
        <f t="shared" si="40"/>
        <v>148.69999999999999</v>
      </c>
      <c r="AM242">
        <f t="shared" si="41"/>
        <v>166.3</v>
      </c>
      <c r="AN242">
        <f t="shared" si="42"/>
        <v>148.14999999999998</v>
      </c>
      <c r="AO242">
        <f t="shared" si="43"/>
        <v>150.09999999999997</v>
      </c>
    </row>
    <row r="243" spans="1:41" hidden="1" x14ac:dyDescent="0.45">
      <c r="A243" t="s">
        <v>33</v>
      </c>
      <c r="B243">
        <v>2019</v>
      </c>
      <c r="C243" t="s">
        <v>43</v>
      </c>
      <c r="D243">
        <v>153</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128.9</v>
      </c>
      <c r="W243">
        <v>138.69999999999999</v>
      </c>
      <c r="X243">
        <v>142.4</v>
      </c>
      <c r="Y243">
        <v>121.5</v>
      </c>
      <c r="Z243">
        <v>136.19999999999999</v>
      </c>
      <c r="AA243">
        <v>151.69999999999999</v>
      </c>
      <c r="AB243">
        <v>139.5</v>
      </c>
      <c r="AC243">
        <v>136</v>
      </c>
      <c r="AD243">
        <v>146</v>
      </c>
      <c r="AE243">
        <f t="shared" si="33"/>
        <v>151.9</v>
      </c>
      <c r="AF243">
        <f t="shared" si="34"/>
        <v>153</v>
      </c>
      <c r="AG243">
        <f t="shared" si="35"/>
        <v>151.69999999999999</v>
      </c>
      <c r="AH243">
        <f t="shared" si="36"/>
        <v>128.9</v>
      </c>
      <c r="AI243">
        <f t="shared" si="37"/>
        <v>142.4</v>
      </c>
      <c r="AJ243">
        <f t="shared" si="38"/>
        <v>121.5</v>
      </c>
      <c r="AK243">
        <f t="shared" si="39"/>
        <v>141.69999999999999</v>
      </c>
      <c r="AL243">
        <f t="shared" si="40"/>
        <v>136.19999999999999</v>
      </c>
      <c r="AM243">
        <f t="shared" si="41"/>
        <v>169.3</v>
      </c>
      <c r="AN243">
        <f t="shared" si="42"/>
        <v>137.35</v>
      </c>
      <c r="AO243">
        <f t="shared" si="43"/>
        <v>143.39499999999998</v>
      </c>
    </row>
    <row r="244" spans="1:41" hidden="1" x14ac:dyDescent="0.45">
      <c r="A244" t="s">
        <v>34</v>
      </c>
      <c r="B244">
        <v>2019</v>
      </c>
      <c r="C244" t="s">
        <v>43</v>
      </c>
      <c r="D244">
        <v>153</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140.6</v>
      </c>
      <c r="W244">
        <v>145</v>
      </c>
      <c r="X244">
        <v>149.4</v>
      </c>
      <c r="Y244">
        <v>126.3</v>
      </c>
      <c r="Z244">
        <v>141.69999999999999</v>
      </c>
      <c r="AA244">
        <v>155.4</v>
      </c>
      <c r="AB244">
        <v>140</v>
      </c>
      <c r="AC244">
        <v>141</v>
      </c>
      <c r="AD244">
        <v>147.19999999999999</v>
      </c>
      <c r="AE244">
        <f t="shared" si="33"/>
        <v>149.6</v>
      </c>
      <c r="AF244">
        <f t="shared" si="34"/>
        <v>153</v>
      </c>
      <c r="AG244">
        <f t="shared" si="35"/>
        <v>155.4</v>
      </c>
      <c r="AH244">
        <f t="shared" si="36"/>
        <v>140.6</v>
      </c>
      <c r="AI244">
        <f t="shared" si="37"/>
        <v>149.4</v>
      </c>
      <c r="AJ244">
        <f t="shared" si="38"/>
        <v>126.3</v>
      </c>
      <c r="AK244">
        <f t="shared" si="39"/>
        <v>144.1</v>
      </c>
      <c r="AL244">
        <f t="shared" si="40"/>
        <v>141.69999999999999</v>
      </c>
      <c r="AM244">
        <f t="shared" si="41"/>
        <v>167.1</v>
      </c>
      <c r="AN244">
        <f t="shared" si="42"/>
        <v>143</v>
      </c>
      <c r="AO244">
        <f t="shared" si="43"/>
        <v>147.01999999999998</v>
      </c>
    </row>
    <row r="245" spans="1:41" hidden="1" x14ac:dyDescent="0.45">
      <c r="A245" t="s">
        <v>30</v>
      </c>
      <c r="B245">
        <v>2019</v>
      </c>
      <c r="C245" t="s">
        <v>45</v>
      </c>
      <c r="D245" t="s">
        <v>32</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v>148.4</v>
      </c>
      <c r="W245">
        <v>150.9</v>
      </c>
      <c r="X245">
        <v>154.30000000000001</v>
      </c>
      <c r="Y245">
        <v>132.1</v>
      </c>
      <c r="Z245">
        <v>149.1</v>
      </c>
      <c r="AA245">
        <v>160.80000000000001</v>
      </c>
      <c r="AB245">
        <v>140.6</v>
      </c>
      <c r="AC245">
        <v>146.1</v>
      </c>
      <c r="AD245">
        <v>149.9</v>
      </c>
      <c r="AE245">
        <f t="shared" si="33"/>
        <v>150.9</v>
      </c>
      <c r="AF245" t="str">
        <f t="shared" si="34"/>
        <v>NA</v>
      </c>
      <c r="AG245">
        <f t="shared" si="35"/>
        <v>160.80000000000001</v>
      </c>
      <c r="AH245">
        <f t="shared" si="36"/>
        <v>148.4</v>
      </c>
      <c r="AI245">
        <f t="shared" si="37"/>
        <v>154.30000000000001</v>
      </c>
      <c r="AJ245">
        <f t="shared" si="38"/>
        <v>132.1</v>
      </c>
      <c r="AK245">
        <f t="shared" si="39"/>
        <v>146.05000000000001</v>
      </c>
      <c r="AL245">
        <f t="shared" si="40"/>
        <v>149.1</v>
      </c>
      <c r="AM245">
        <f t="shared" si="41"/>
        <v>167.2</v>
      </c>
      <c r="AN245">
        <f t="shared" si="42"/>
        <v>148.5</v>
      </c>
      <c r="AO245">
        <f t="shared" si="43"/>
        <v>150.81666666666669</v>
      </c>
    </row>
    <row r="246" spans="1:41" hidden="1" x14ac:dyDescent="0.45">
      <c r="A246" t="s">
        <v>33</v>
      </c>
      <c r="B246">
        <v>2019</v>
      </c>
      <c r="C246" t="s">
        <v>45</v>
      </c>
      <c r="D246">
        <v>153.5</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132.19999999999999</v>
      </c>
      <c r="W246">
        <v>139.1</v>
      </c>
      <c r="X246">
        <v>142.80000000000001</v>
      </c>
      <c r="Y246">
        <v>121.7</v>
      </c>
      <c r="Z246">
        <v>136.69999999999999</v>
      </c>
      <c r="AA246">
        <v>151.80000000000001</v>
      </c>
      <c r="AB246">
        <v>139.80000000000001</v>
      </c>
      <c r="AC246">
        <v>136.30000000000001</v>
      </c>
      <c r="AD246">
        <v>147</v>
      </c>
      <c r="AE246">
        <f t="shared" si="33"/>
        <v>153.6</v>
      </c>
      <c r="AF246">
        <f t="shared" si="34"/>
        <v>153.5</v>
      </c>
      <c r="AG246">
        <f t="shared" si="35"/>
        <v>151.80000000000001</v>
      </c>
      <c r="AH246">
        <f t="shared" si="36"/>
        <v>132.19999999999999</v>
      </c>
      <c r="AI246">
        <f t="shared" si="37"/>
        <v>142.80000000000001</v>
      </c>
      <c r="AJ246">
        <f t="shared" si="38"/>
        <v>121.7</v>
      </c>
      <c r="AK246">
        <f t="shared" si="39"/>
        <v>142</v>
      </c>
      <c r="AL246">
        <f t="shared" si="40"/>
        <v>136.69999999999999</v>
      </c>
      <c r="AM246">
        <f t="shared" si="41"/>
        <v>169.9</v>
      </c>
      <c r="AN246">
        <f t="shared" si="42"/>
        <v>137.69999999999999</v>
      </c>
      <c r="AO246">
        <f t="shared" si="43"/>
        <v>144.19000000000003</v>
      </c>
    </row>
    <row r="247" spans="1:41" hidden="1" x14ac:dyDescent="0.45">
      <c r="A247" t="s">
        <v>34</v>
      </c>
      <c r="B247">
        <v>2019</v>
      </c>
      <c r="C247" t="s">
        <v>45</v>
      </c>
      <c r="D247">
        <v>153.5</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142.30000000000001</v>
      </c>
      <c r="W247">
        <v>145.30000000000001</v>
      </c>
      <c r="X247">
        <v>149.9</v>
      </c>
      <c r="Y247">
        <v>126.6</v>
      </c>
      <c r="Z247">
        <v>142.1</v>
      </c>
      <c r="AA247">
        <v>155.5</v>
      </c>
      <c r="AB247">
        <v>140.30000000000001</v>
      </c>
      <c r="AC247">
        <v>141.30000000000001</v>
      </c>
      <c r="AD247">
        <v>148.6</v>
      </c>
      <c r="AE247">
        <f t="shared" si="33"/>
        <v>151.9</v>
      </c>
      <c r="AF247">
        <f t="shared" si="34"/>
        <v>153.5</v>
      </c>
      <c r="AG247">
        <f t="shared" si="35"/>
        <v>155.5</v>
      </c>
      <c r="AH247">
        <f t="shared" si="36"/>
        <v>142.30000000000001</v>
      </c>
      <c r="AI247">
        <f t="shared" si="37"/>
        <v>149.9</v>
      </c>
      <c r="AJ247">
        <f t="shared" si="38"/>
        <v>126.6</v>
      </c>
      <c r="AK247">
        <f t="shared" si="39"/>
        <v>144.44999999999999</v>
      </c>
      <c r="AL247">
        <f t="shared" si="40"/>
        <v>142.1</v>
      </c>
      <c r="AM247">
        <f t="shared" si="41"/>
        <v>167.9</v>
      </c>
      <c r="AN247">
        <f t="shared" si="42"/>
        <v>143.30000000000001</v>
      </c>
      <c r="AO247">
        <f t="shared" si="43"/>
        <v>147.745</v>
      </c>
    </row>
    <row r="248" spans="1:41" hidden="1" x14ac:dyDescent="0.45">
      <c r="A248" t="s">
        <v>30</v>
      </c>
      <c r="B248">
        <v>2019</v>
      </c>
      <c r="C248" t="s">
        <v>46</v>
      </c>
      <c r="D248" t="s">
        <v>32</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v>149.9</v>
      </c>
      <c r="W248">
        <v>151.19999999999999</v>
      </c>
      <c r="X248">
        <v>154.80000000000001</v>
      </c>
      <c r="Y248">
        <v>135</v>
      </c>
      <c r="Z248">
        <v>149.5</v>
      </c>
      <c r="AA248">
        <v>161.1</v>
      </c>
      <c r="AB248">
        <v>140.6</v>
      </c>
      <c r="AC248">
        <v>147.1</v>
      </c>
      <c r="AD248">
        <v>152.30000000000001</v>
      </c>
      <c r="AE248">
        <f t="shared" si="33"/>
        <v>154.30000000000001</v>
      </c>
      <c r="AF248" t="str">
        <f t="shared" si="34"/>
        <v>NA</v>
      </c>
      <c r="AG248">
        <f t="shared" si="35"/>
        <v>161.1</v>
      </c>
      <c r="AH248">
        <f t="shared" si="36"/>
        <v>149.9</v>
      </c>
      <c r="AI248">
        <f t="shared" si="37"/>
        <v>154.80000000000001</v>
      </c>
      <c r="AJ248">
        <f t="shared" si="38"/>
        <v>135</v>
      </c>
      <c r="AK248">
        <f t="shared" si="39"/>
        <v>146.25</v>
      </c>
      <c r="AL248">
        <f t="shared" si="40"/>
        <v>149.5</v>
      </c>
      <c r="AM248">
        <f t="shared" si="41"/>
        <v>167.8</v>
      </c>
      <c r="AN248">
        <f t="shared" si="42"/>
        <v>149.14999999999998</v>
      </c>
      <c r="AO248">
        <f t="shared" si="43"/>
        <v>151.97777777777776</v>
      </c>
    </row>
    <row r="249" spans="1:41" hidden="1" x14ac:dyDescent="0.45">
      <c r="A249" t="s">
        <v>33</v>
      </c>
      <c r="B249">
        <v>2019</v>
      </c>
      <c r="C249" t="s">
        <v>46</v>
      </c>
      <c r="D249">
        <v>152.80000000000001</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133.6</v>
      </c>
      <c r="W249">
        <v>139.80000000000001</v>
      </c>
      <c r="X249">
        <v>143.19999999999999</v>
      </c>
      <c r="Y249">
        <v>125.2</v>
      </c>
      <c r="Z249">
        <v>136.80000000000001</v>
      </c>
      <c r="AA249">
        <v>151.9</v>
      </c>
      <c r="AB249">
        <v>140.19999999999999</v>
      </c>
      <c r="AC249">
        <v>137.69999999999999</v>
      </c>
      <c r="AD249">
        <v>148.30000000000001</v>
      </c>
      <c r="AE249">
        <f t="shared" si="33"/>
        <v>156.30000000000001</v>
      </c>
      <c r="AF249">
        <f t="shared" si="34"/>
        <v>152.80000000000001</v>
      </c>
      <c r="AG249">
        <f t="shared" si="35"/>
        <v>151.9</v>
      </c>
      <c r="AH249">
        <f t="shared" si="36"/>
        <v>133.6</v>
      </c>
      <c r="AI249">
        <f t="shared" si="37"/>
        <v>143.19999999999999</v>
      </c>
      <c r="AJ249">
        <f t="shared" si="38"/>
        <v>125.2</v>
      </c>
      <c r="AK249">
        <f t="shared" si="39"/>
        <v>142.39999999999998</v>
      </c>
      <c r="AL249">
        <f t="shared" si="40"/>
        <v>136.80000000000001</v>
      </c>
      <c r="AM249">
        <f t="shared" si="41"/>
        <v>170.4</v>
      </c>
      <c r="AN249">
        <f t="shared" si="42"/>
        <v>138.75</v>
      </c>
      <c r="AO249">
        <f t="shared" si="43"/>
        <v>145.13500000000002</v>
      </c>
    </row>
    <row r="250" spans="1:41" hidden="1" x14ac:dyDescent="0.45">
      <c r="A250" t="s">
        <v>34</v>
      </c>
      <c r="B250">
        <v>2019</v>
      </c>
      <c r="C250" t="s">
        <v>46</v>
      </c>
      <c r="D250">
        <v>152.80000000000001</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143.69999999999999</v>
      </c>
      <c r="W250">
        <v>145.80000000000001</v>
      </c>
      <c r="X250">
        <v>150.4</v>
      </c>
      <c r="Y250">
        <v>129.80000000000001</v>
      </c>
      <c r="Z250">
        <v>142.30000000000001</v>
      </c>
      <c r="AA250">
        <v>155.69999999999999</v>
      </c>
      <c r="AB250">
        <v>140.4</v>
      </c>
      <c r="AC250">
        <v>142.5</v>
      </c>
      <c r="AD250">
        <v>150.4</v>
      </c>
      <c r="AE250">
        <f t="shared" si="33"/>
        <v>155</v>
      </c>
      <c r="AF250">
        <f t="shared" si="34"/>
        <v>152.80000000000001</v>
      </c>
      <c r="AG250">
        <f t="shared" si="35"/>
        <v>155.69999999999999</v>
      </c>
      <c r="AH250">
        <f t="shared" si="36"/>
        <v>143.69999999999999</v>
      </c>
      <c r="AI250">
        <f t="shared" si="37"/>
        <v>150.4</v>
      </c>
      <c r="AJ250">
        <f t="shared" si="38"/>
        <v>129.80000000000001</v>
      </c>
      <c r="AK250">
        <f t="shared" si="39"/>
        <v>144.69999999999999</v>
      </c>
      <c r="AL250">
        <f t="shared" si="40"/>
        <v>142.30000000000001</v>
      </c>
      <c r="AM250">
        <f t="shared" si="41"/>
        <v>168.5</v>
      </c>
      <c r="AN250">
        <f t="shared" si="42"/>
        <v>144.15</v>
      </c>
      <c r="AO250">
        <f t="shared" si="43"/>
        <v>148.70500000000001</v>
      </c>
    </row>
    <row r="251" spans="1:41" hidden="1" x14ac:dyDescent="0.45">
      <c r="A251" t="s">
        <v>30</v>
      </c>
      <c r="B251">
        <v>2020</v>
      </c>
      <c r="C251" t="s">
        <v>31</v>
      </c>
      <c r="D251" t="s">
        <v>32</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v>150.4</v>
      </c>
      <c r="W251">
        <v>151.69999999999999</v>
      </c>
      <c r="X251">
        <v>155.69999999999999</v>
      </c>
      <c r="Y251">
        <v>136.30000000000001</v>
      </c>
      <c r="Z251">
        <v>150.1</v>
      </c>
      <c r="AA251">
        <v>161.69999999999999</v>
      </c>
      <c r="AB251">
        <v>142.5</v>
      </c>
      <c r="AC251">
        <v>148.1</v>
      </c>
      <c r="AD251">
        <v>151.9</v>
      </c>
      <c r="AE251">
        <f t="shared" si="33"/>
        <v>153</v>
      </c>
      <c r="AF251" t="str">
        <f t="shared" si="34"/>
        <v>NA</v>
      </c>
      <c r="AG251">
        <f t="shared" si="35"/>
        <v>161.69999999999999</v>
      </c>
      <c r="AH251">
        <f t="shared" si="36"/>
        <v>150.4</v>
      </c>
      <c r="AI251">
        <f t="shared" si="37"/>
        <v>155.69999999999999</v>
      </c>
      <c r="AJ251">
        <f t="shared" si="38"/>
        <v>136.30000000000001</v>
      </c>
      <c r="AK251">
        <f t="shared" si="39"/>
        <v>147.30000000000001</v>
      </c>
      <c r="AL251">
        <f t="shared" si="40"/>
        <v>150.1</v>
      </c>
      <c r="AM251">
        <f t="shared" si="41"/>
        <v>168.6</v>
      </c>
      <c r="AN251">
        <f t="shared" si="42"/>
        <v>149.89999999999998</v>
      </c>
      <c r="AO251">
        <f t="shared" si="43"/>
        <v>152.55555555555551</v>
      </c>
    </row>
    <row r="252" spans="1:41" hidden="1" x14ac:dyDescent="0.45">
      <c r="A252" t="s">
        <v>33</v>
      </c>
      <c r="B252">
        <v>2020</v>
      </c>
      <c r="C252" t="s">
        <v>31</v>
      </c>
      <c r="D252">
        <v>153.9</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135.1</v>
      </c>
      <c r="W252">
        <v>140.1</v>
      </c>
      <c r="X252">
        <v>143.80000000000001</v>
      </c>
      <c r="Y252">
        <v>126.1</v>
      </c>
      <c r="Z252">
        <v>137.19999999999999</v>
      </c>
      <c r="AA252">
        <v>152.1</v>
      </c>
      <c r="AB252">
        <v>142.1</v>
      </c>
      <c r="AC252">
        <v>138.4</v>
      </c>
      <c r="AD252">
        <v>148.19999999999999</v>
      </c>
      <c r="AE252">
        <f t="shared" si="33"/>
        <v>154.4</v>
      </c>
      <c r="AF252">
        <f t="shared" si="34"/>
        <v>153.9</v>
      </c>
      <c r="AG252">
        <f t="shared" si="35"/>
        <v>152.1</v>
      </c>
      <c r="AH252">
        <f t="shared" si="36"/>
        <v>135.1</v>
      </c>
      <c r="AI252">
        <f t="shared" si="37"/>
        <v>143.80000000000001</v>
      </c>
      <c r="AJ252">
        <f t="shared" si="38"/>
        <v>126.1</v>
      </c>
      <c r="AK252">
        <f t="shared" si="39"/>
        <v>143.5</v>
      </c>
      <c r="AL252">
        <f t="shared" si="40"/>
        <v>137.19999999999999</v>
      </c>
      <c r="AM252">
        <f t="shared" si="41"/>
        <v>170.8</v>
      </c>
      <c r="AN252">
        <f t="shared" si="42"/>
        <v>139.25</v>
      </c>
      <c r="AO252">
        <f t="shared" si="43"/>
        <v>145.61499999999998</v>
      </c>
    </row>
    <row r="253" spans="1:41" hidden="1" x14ac:dyDescent="0.45">
      <c r="A253" t="s">
        <v>34</v>
      </c>
      <c r="B253">
        <v>2020</v>
      </c>
      <c r="C253" t="s">
        <v>31</v>
      </c>
      <c r="D253">
        <v>153.9</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144.6</v>
      </c>
      <c r="W253">
        <v>146.19999999999999</v>
      </c>
      <c r="X253">
        <v>151.19999999999999</v>
      </c>
      <c r="Y253">
        <v>130.9</v>
      </c>
      <c r="Z253">
        <v>142.80000000000001</v>
      </c>
      <c r="AA253">
        <v>156.1</v>
      </c>
      <c r="AB253">
        <v>142.30000000000001</v>
      </c>
      <c r="AC253">
        <v>143.4</v>
      </c>
      <c r="AD253">
        <v>150.19999999999999</v>
      </c>
      <c r="AE253">
        <f t="shared" si="33"/>
        <v>153.5</v>
      </c>
      <c r="AF253">
        <f t="shared" si="34"/>
        <v>153.9</v>
      </c>
      <c r="AG253">
        <f t="shared" si="35"/>
        <v>156.1</v>
      </c>
      <c r="AH253">
        <f t="shared" si="36"/>
        <v>144.6</v>
      </c>
      <c r="AI253">
        <f t="shared" si="37"/>
        <v>151.19999999999999</v>
      </c>
      <c r="AJ253">
        <f t="shared" si="38"/>
        <v>130.9</v>
      </c>
      <c r="AK253">
        <f t="shared" si="39"/>
        <v>145.75</v>
      </c>
      <c r="AL253">
        <f t="shared" si="40"/>
        <v>142.80000000000001</v>
      </c>
      <c r="AM253">
        <f t="shared" si="41"/>
        <v>169.2</v>
      </c>
      <c r="AN253">
        <f t="shared" si="42"/>
        <v>144.80000000000001</v>
      </c>
      <c r="AO253">
        <f t="shared" si="43"/>
        <v>149.27499999999998</v>
      </c>
    </row>
    <row r="254" spans="1:41" hidden="1" x14ac:dyDescent="0.45">
      <c r="A254" t="s">
        <v>30</v>
      </c>
      <c r="B254">
        <v>2020</v>
      </c>
      <c r="C254" t="s">
        <v>35</v>
      </c>
      <c r="D254" t="s">
        <v>32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v>152.30000000000001</v>
      </c>
      <c r="W254">
        <v>151.80000000000001</v>
      </c>
      <c r="X254">
        <v>156.19999999999999</v>
      </c>
      <c r="Y254">
        <v>136</v>
      </c>
      <c r="Z254">
        <v>150.4</v>
      </c>
      <c r="AA254">
        <v>161.9</v>
      </c>
      <c r="AB254">
        <v>143.4</v>
      </c>
      <c r="AC254">
        <v>148.4</v>
      </c>
      <c r="AD254">
        <v>150.4</v>
      </c>
      <c r="AE254">
        <f t="shared" si="33"/>
        <v>149.80000000000001</v>
      </c>
      <c r="AF254" t="str">
        <f t="shared" si="34"/>
        <v>NA</v>
      </c>
      <c r="AG254">
        <f t="shared" si="35"/>
        <v>161.9</v>
      </c>
      <c r="AH254">
        <f t="shared" si="36"/>
        <v>152.30000000000001</v>
      </c>
      <c r="AI254">
        <f t="shared" si="37"/>
        <v>156.19999999999999</v>
      </c>
      <c r="AJ254">
        <f t="shared" si="38"/>
        <v>136</v>
      </c>
      <c r="AK254">
        <f t="shared" si="39"/>
        <v>147.85000000000002</v>
      </c>
      <c r="AL254">
        <f t="shared" si="40"/>
        <v>150.4</v>
      </c>
      <c r="AM254">
        <f t="shared" si="41"/>
        <v>169.4</v>
      </c>
      <c r="AN254">
        <f t="shared" si="42"/>
        <v>150.10000000000002</v>
      </c>
      <c r="AO254">
        <f t="shared" si="43"/>
        <v>152.66111111111115</v>
      </c>
    </row>
    <row r="255" spans="1:41" hidden="1" x14ac:dyDescent="0.45">
      <c r="A255" t="s">
        <v>33</v>
      </c>
      <c r="B255">
        <v>2020</v>
      </c>
      <c r="C255" t="s">
        <v>35</v>
      </c>
      <c r="D255">
        <v>154.80000000000001</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138.9</v>
      </c>
      <c r="W255">
        <v>140.4</v>
      </c>
      <c r="X255">
        <v>144.4</v>
      </c>
      <c r="Y255">
        <v>125.2</v>
      </c>
      <c r="Z255">
        <v>137.69999999999999</v>
      </c>
      <c r="AA255">
        <v>152.19999999999999</v>
      </c>
      <c r="AB255">
        <v>143.5</v>
      </c>
      <c r="AC255">
        <v>138.4</v>
      </c>
      <c r="AD255">
        <v>147.69999999999999</v>
      </c>
      <c r="AE255">
        <f t="shared" si="33"/>
        <v>151.69999999999999</v>
      </c>
      <c r="AF255">
        <f t="shared" si="34"/>
        <v>154.80000000000001</v>
      </c>
      <c r="AG255">
        <f t="shared" si="35"/>
        <v>152.19999999999999</v>
      </c>
      <c r="AH255">
        <f t="shared" si="36"/>
        <v>138.9</v>
      </c>
      <c r="AI255">
        <f t="shared" si="37"/>
        <v>144.4</v>
      </c>
      <c r="AJ255">
        <f t="shared" si="38"/>
        <v>125.2</v>
      </c>
      <c r="AK255">
        <f t="shared" si="39"/>
        <v>144.35</v>
      </c>
      <c r="AL255">
        <f t="shared" si="40"/>
        <v>137.69999999999999</v>
      </c>
      <c r="AM255">
        <f t="shared" si="41"/>
        <v>172</v>
      </c>
      <c r="AN255">
        <f t="shared" si="42"/>
        <v>139.4</v>
      </c>
      <c r="AO255">
        <f t="shared" si="43"/>
        <v>146.065</v>
      </c>
    </row>
    <row r="256" spans="1:41" hidden="1" x14ac:dyDescent="0.45">
      <c r="A256" t="s">
        <v>34</v>
      </c>
      <c r="B256">
        <v>2020</v>
      </c>
      <c r="C256" t="s">
        <v>35</v>
      </c>
      <c r="D256">
        <v>154.80000000000001</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147.19999999999999</v>
      </c>
      <c r="W256">
        <v>146.4</v>
      </c>
      <c r="X256">
        <v>151.69999999999999</v>
      </c>
      <c r="Y256">
        <v>130.30000000000001</v>
      </c>
      <c r="Z256">
        <v>143.19999999999999</v>
      </c>
      <c r="AA256">
        <v>156.19999999999999</v>
      </c>
      <c r="AB256">
        <v>143.4</v>
      </c>
      <c r="AC256">
        <v>143.6</v>
      </c>
      <c r="AD256">
        <v>149.1</v>
      </c>
      <c r="AE256">
        <f t="shared" si="33"/>
        <v>150.5</v>
      </c>
      <c r="AF256">
        <f t="shared" si="34"/>
        <v>154.80000000000001</v>
      </c>
      <c r="AG256">
        <f t="shared" si="35"/>
        <v>156.19999999999999</v>
      </c>
      <c r="AH256">
        <f t="shared" si="36"/>
        <v>147.19999999999999</v>
      </c>
      <c r="AI256">
        <f t="shared" si="37"/>
        <v>151.69999999999999</v>
      </c>
      <c r="AJ256">
        <f t="shared" si="38"/>
        <v>130.30000000000001</v>
      </c>
      <c r="AK256">
        <f t="shared" si="39"/>
        <v>146.44999999999999</v>
      </c>
      <c r="AL256">
        <f t="shared" si="40"/>
        <v>143.19999999999999</v>
      </c>
      <c r="AM256">
        <f t="shared" si="41"/>
        <v>170.1</v>
      </c>
      <c r="AN256">
        <f t="shared" si="42"/>
        <v>145</v>
      </c>
      <c r="AO256">
        <f t="shared" si="43"/>
        <v>149.54500000000002</v>
      </c>
    </row>
    <row r="257" spans="1:41" hidden="1" x14ac:dyDescent="0.45">
      <c r="A257" t="s">
        <v>30</v>
      </c>
      <c r="B257">
        <v>2020</v>
      </c>
      <c r="C257" t="s">
        <v>36</v>
      </c>
      <c r="D257" t="s">
        <v>32</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v>153.4</v>
      </c>
      <c r="W257">
        <v>151.5</v>
      </c>
      <c r="X257">
        <v>156.69999999999999</v>
      </c>
      <c r="Y257">
        <v>135.80000000000001</v>
      </c>
      <c r="Z257">
        <v>151.19999999999999</v>
      </c>
      <c r="AA257">
        <v>161.19999999999999</v>
      </c>
      <c r="AB257">
        <v>145.1</v>
      </c>
      <c r="AC257">
        <v>148.6</v>
      </c>
      <c r="AD257">
        <v>149.80000000000001</v>
      </c>
      <c r="AE257">
        <f t="shared" si="33"/>
        <v>148.19999999999999</v>
      </c>
      <c r="AF257" t="str">
        <f t="shared" si="34"/>
        <v>NA</v>
      </c>
      <c r="AG257">
        <f t="shared" si="35"/>
        <v>161.19999999999999</v>
      </c>
      <c r="AH257">
        <f t="shared" si="36"/>
        <v>153.4</v>
      </c>
      <c r="AI257">
        <f t="shared" si="37"/>
        <v>156.69999999999999</v>
      </c>
      <c r="AJ257">
        <f t="shared" si="38"/>
        <v>135.80000000000001</v>
      </c>
      <c r="AK257">
        <f t="shared" si="39"/>
        <v>148.80000000000001</v>
      </c>
      <c r="AL257">
        <f t="shared" si="40"/>
        <v>151.19999999999999</v>
      </c>
      <c r="AM257">
        <f t="shared" si="41"/>
        <v>170.5</v>
      </c>
      <c r="AN257">
        <f t="shared" si="42"/>
        <v>150.05000000000001</v>
      </c>
      <c r="AO257">
        <f t="shared" si="43"/>
        <v>152.87222222222221</v>
      </c>
    </row>
    <row r="258" spans="1:41" hidden="1" x14ac:dyDescent="0.45">
      <c r="A258" t="s">
        <v>33</v>
      </c>
      <c r="B258">
        <v>2020</v>
      </c>
      <c r="C258" t="s">
        <v>36</v>
      </c>
      <c r="D258">
        <v>154.5</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141.4</v>
      </c>
      <c r="W258">
        <v>140.80000000000001</v>
      </c>
      <c r="X258">
        <v>145</v>
      </c>
      <c r="Y258">
        <v>124.6</v>
      </c>
      <c r="Z258">
        <v>137.9</v>
      </c>
      <c r="AA258">
        <v>152.5</v>
      </c>
      <c r="AB258">
        <v>145.30000000000001</v>
      </c>
      <c r="AC258">
        <v>138.69999999999999</v>
      </c>
      <c r="AD258">
        <v>147.30000000000001</v>
      </c>
      <c r="AE258">
        <f t="shared" si="33"/>
        <v>150.1</v>
      </c>
      <c r="AF258">
        <f t="shared" si="34"/>
        <v>154.5</v>
      </c>
      <c r="AG258">
        <f t="shared" si="35"/>
        <v>152.5</v>
      </c>
      <c r="AH258">
        <f t="shared" si="36"/>
        <v>141.4</v>
      </c>
      <c r="AI258">
        <f t="shared" si="37"/>
        <v>145</v>
      </c>
      <c r="AJ258">
        <f t="shared" si="38"/>
        <v>124.6</v>
      </c>
      <c r="AK258">
        <f t="shared" si="39"/>
        <v>145.44999999999999</v>
      </c>
      <c r="AL258">
        <f t="shared" si="40"/>
        <v>137.9</v>
      </c>
      <c r="AM258">
        <f t="shared" si="41"/>
        <v>173.3</v>
      </c>
      <c r="AN258">
        <f t="shared" si="42"/>
        <v>139.75</v>
      </c>
      <c r="AO258">
        <f t="shared" si="43"/>
        <v>146.44999999999999</v>
      </c>
    </row>
    <row r="259" spans="1:41" hidden="1" x14ac:dyDescent="0.45">
      <c r="A259" t="s">
        <v>34</v>
      </c>
      <c r="B259">
        <v>2020</v>
      </c>
      <c r="C259" t="s">
        <v>36</v>
      </c>
      <c r="D259">
        <v>154.5</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148.9</v>
      </c>
      <c r="W259">
        <v>146.4</v>
      </c>
      <c r="X259">
        <v>152.30000000000001</v>
      </c>
      <c r="Y259">
        <v>129.9</v>
      </c>
      <c r="Z259">
        <v>143.69999999999999</v>
      </c>
      <c r="AA259">
        <v>156.1</v>
      </c>
      <c r="AB259">
        <v>145.19999999999999</v>
      </c>
      <c r="AC259">
        <v>143.80000000000001</v>
      </c>
      <c r="AD259">
        <v>148.6</v>
      </c>
      <c r="AE259">
        <f t="shared" ref="AE259:AE322" si="44">Q259</f>
        <v>148.9</v>
      </c>
      <c r="AF259">
        <f t="shared" ref="AF259:AF322" si="45">D259</f>
        <v>154.5</v>
      </c>
      <c r="AG259">
        <f t="shared" ref="AG259:AG322" si="46">AA259</f>
        <v>156.1</v>
      </c>
      <c r="AH259">
        <f t="shared" ref="AH259:AH322" si="47">V259</f>
        <v>148.9</v>
      </c>
      <c r="AI259">
        <f t="shared" ref="AI259:AI322" si="48">X259</f>
        <v>152.30000000000001</v>
      </c>
      <c r="AJ259">
        <f t="shared" ref="AJ259:AJ322" si="49">Y259</f>
        <v>129.9</v>
      </c>
      <c r="AK259">
        <f t="shared" ref="AK259:AK322" si="50">AVERAGE(U259,AB259)</f>
        <v>147.5</v>
      </c>
      <c r="AL259">
        <f t="shared" ref="AL259:AL322" si="51">Z259</f>
        <v>143.69999999999999</v>
      </c>
      <c r="AM259">
        <f t="shared" ref="AM259:AM322" si="52">R259</f>
        <v>171.2</v>
      </c>
      <c r="AN259">
        <f t="shared" ref="AN259:AN322" si="53">AVERAGE(W259,AC259)</f>
        <v>145.10000000000002</v>
      </c>
      <c r="AO259">
        <f t="shared" ref="AO259:AO322" si="54">AVERAGE(AE259:AN259)</f>
        <v>149.81</v>
      </c>
    </row>
    <row r="260" spans="1:41" hidden="1" x14ac:dyDescent="0.45">
      <c r="A260" t="s">
        <v>30</v>
      </c>
      <c r="B260">
        <v>2020</v>
      </c>
      <c r="C260" t="s">
        <v>37</v>
      </c>
      <c r="D260" t="s">
        <v>32</v>
      </c>
      <c r="E260">
        <v>147.19999999999999</v>
      </c>
      <c r="F260">
        <f>AVERAGE($F251,$F254,$F257)</f>
        <v>167.20000000000002</v>
      </c>
      <c r="G260">
        <v>146.9</v>
      </c>
      <c r="H260">
        <v>155.6</v>
      </c>
      <c r="I260">
        <v>137.1</v>
      </c>
      <c r="J260">
        <v>147.30000000000001</v>
      </c>
      <c r="K260">
        <v>162.69999999999999</v>
      </c>
      <c r="L260">
        <v>150.19999999999999</v>
      </c>
      <c r="M260">
        <v>119.8</v>
      </c>
      <c r="N260">
        <v>158.69999999999999</v>
      </c>
      <c r="O260">
        <v>139.19999999999999</v>
      </c>
      <c r="P260">
        <f>AVERAGE($P251,$P254,$P257)</f>
        <v>159.29999999999998</v>
      </c>
      <c r="Q260">
        <v>150.1</v>
      </c>
      <c r="R260">
        <f>AVERAGE($R251,$R254,$R257)</f>
        <v>169.5</v>
      </c>
      <c r="S260">
        <f>AVERAGE($S251,$S254,$S257)</f>
        <v>153.06666666666669</v>
      </c>
      <c r="T260">
        <f>AVERAGE($T251,$T254,$T257)</f>
        <v>147.5</v>
      </c>
      <c r="U260">
        <f>AVERAGE($U251,$U254,$U257)</f>
        <v>152.29999999999998</v>
      </c>
      <c r="V260">
        <v>148.4</v>
      </c>
      <c r="W260">
        <f>AVERAGE($W251,$W254,$W257)</f>
        <v>151.66666666666666</v>
      </c>
      <c r="X260">
        <v>154.30000000000001</v>
      </c>
      <c r="Y260">
        <f>AVERAGE($Y251,$Y254,Y$257)</f>
        <v>136.03333333333333</v>
      </c>
      <c r="Z260">
        <f>AVERAGE($Z251,$Z254,$Z257)</f>
        <v>150.56666666666666</v>
      </c>
      <c r="AA260">
        <f>AVERAGE($AA251,$AA254,$AA257)</f>
        <v>161.6</v>
      </c>
      <c r="AB260">
        <f>AVERAGE($AB251,$AB254,$AB257)</f>
        <v>143.66666666666666</v>
      </c>
      <c r="AC260">
        <f>AVERAGE($AC251,$AC254,$AC257)</f>
        <v>148.36666666666667</v>
      </c>
      <c r="AD260">
        <f>AVERAGE($AD251,$AD254,$AD257)</f>
        <v>150.70000000000002</v>
      </c>
      <c r="AE260">
        <f t="shared" si="44"/>
        <v>150.1</v>
      </c>
      <c r="AF260" t="str">
        <f t="shared" si="45"/>
        <v>NA</v>
      </c>
      <c r="AG260">
        <f t="shared" si="46"/>
        <v>161.6</v>
      </c>
      <c r="AH260">
        <f t="shared" si="47"/>
        <v>148.4</v>
      </c>
      <c r="AI260">
        <f t="shared" si="48"/>
        <v>154.30000000000001</v>
      </c>
      <c r="AJ260">
        <f t="shared" si="49"/>
        <v>136.03333333333333</v>
      </c>
      <c r="AK260">
        <f t="shared" si="50"/>
        <v>147.98333333333332</v>
      </c>
      <c r="AL260">
        <f t="shared" si="51"/>
        <v>150.56666666666666</v>
      </c>
      <c r="AM260">
        <f t="shared" si="52"/>
        <v>169.5</v>
      </c>
      <c r="AN260">
        <f t="shared" si="53"/>
        <v>150.01666666666665</v>
      </c>
      <c r="AO260">
        <f t="shared" si="54"/>
        <v>152.05555555555554</v>
      </c>
    </row>
    <row r="261" spans="1:41" hidden="1" x14ac:dyDescent="0.45">
      <c r="A261" t="s">
        <v>33</v>
      </c>
      <c r="B261">
        <v>2020</v>
      </c>
      <c r="C261" t="s">
        <v>37</v>
      </c>
      <c r="D261">
        <v>155.6</v>
      </c>
      <c r="E261">
        <v>151.80000000000001</v>
      </c>
      <c r="F261">
        <f>AVERAGE($F252,$F255,$F258)</f>
        <v>167.56666666666666</v>
      </c>
      <c r="G261">
        <v>151.9</v>
      </c>
      <c r="H261">
        <v>155.5</v>
      </c>
      <c r="I261">
        <v>131.6</v>
      </c>
      <c r="J261">
        <v>152.9</v>
      </c>
      <c r="K261">
        <v>180</v>
      </c>
      <c r="L261">
        <v>150.80000000000001</v>
      </c>
      <c r="M261">
        <v>121.2</v>
      </c>
      <c r="N261">
        <v>154</v>
      </c>
      <c r="O261">
        <v>133.5</v>
      </c>
      <c r="P261">
        <f t="shared" ref="P261:P265" si="55">AVERAGE($P252,$P255,$P258)</f>
        <v>158.86666666666667</v>
      </c>
      <c r="Q261">
        <v>153.5</v>
      </c>
      <c r="R261">
        <f t="shared" ref="R261:R265" si="56">AVERAGE($R252,$R255,$R258)</f>
        <v>172.03333333333333</v>
      </c>
      <c r="S261">
        <f t="shared" ref="S261:S265" si="57">AVERAGE($S252,$S255,$S258)</f>
        <v>147.33333333333334</v>
      </c>
      <c r="T261">
        <f t="shared" ref="T261:T265" si="58">AVERAGE($T252,$T255,$T258)</f>
        <v>133.5</v>
      </c>
      <c r="U261">
        <f t="shared" ref="U261:U265" si="59">AVERAGE($U252,$U255,$U258)</f>
        <v>145.23333333333335</v>
      </c>
      <c r="V261">
        <v>137.1</v>
      </c>
      <c r="W261">
        <f t="shared" ref="W261:W265" si="60">AVERAGE($W252,$W255,$W258)</f>
        <v>140.43333333333334</v>
      </c>
      <c r="X261">
        <v>144.80000000000001</v>
      </c>
      <c r="Y261">
        <f t="shared" ref="Y261:Y265" si="61">AVERAGE($Y252,$Y255,Y$257)</f>
        <v>129.03333333333333</v>
      </c>
      <c r="Z261">
        <f t="shared" ref="Z261:Z265" si="62">AVERAGE($Z252,$Z255,$Z258)</f>
        <v>137.6</v>
      </c>
      <c r="AA261">
        <f t="shared" ref="AA261:AA265" si="63">AVERAGE($AA252,$AA255,$AA258)</f>
        <v>152.26666666666665</v>
      </c>
      <c r="AB261">
        <f t="shared" ref="AB261:AB265" si="64">AVERAGE($AB252,$AB255,$AB258)</f>
        <v>143.63333333333335</v>
      </c>
      <c r="AC261">
        <f t="shared" ref="AC261:AC265" si="65">AVERAGE($AC252,$AC255,$AC258)</f>
        <v>138.5</v>
      </c>
      <c r="AD261">
        <f t="shared" ref="AD261:AD265" si="66">AVERAGE($AD252,$AD255,$AD258)</f>
        <v>147.73333333333332</v>
      </c>
      <c r="AE261">
        <f t="shared" si="44"/>
        <v>153.5</v>
      </c>
      <c r="AF261">
        <f t="shared" si="45"/>
        <v>155.6</v>
      </c>
      <c r="AG261">
        <f t="shared" si="46"/>
        <v>152.26666666666665</v>
      </c>
      <c r="AH261">
        <f t="shared" si="47"/>
        <v>137.1</v>
      </c>
      <c r="AI261">
        <f t="shared" si="48"/>
        <v>144.80000000000001</v>
      </c>
      <c r="AJ261">
        <f t="shared" si="49"/>
        <v>129.03333333333333</v>
      </c>
      <c r="AK261">
        <f t="shared" si="50"/>
        <v>144.43333333333334</v>
      </c>
      <c r="AL261">
        <f t="shared" si="51"/>
        <v>137.6</v>
      </c>
      <c r="AM261">
        <f t="shared" si="52"/>
        <v>172.03333333333333</v>
      </c>
      <c r="AN261">
        <f t="shared" si="53"/>
        <v>139.46666666666667</v>
      </c>
      <c r="AO261">
        <f t="shared" si="54"/>
        <v>146.58333333333331</v>
      </c>
    </row>
    <row r="262" spans="1:41" hidden="1" x14ac:dyDescent="0.45">
      <c r="A262" t="s">
        <v>34</v>
      </c>
      <c r="B262">
        <v>2020</v>
      </c>
      <c r="C262" t="s">
        <v>37</v>
      </c>
      <c r="D262">
        <v>155.6</v>
      </c>
      <c r="E262">
        <v>148.69999999999999</v>
      </c>
      <c r="F262">
        <f>AVERAGE($F253,$F256,$F259)</f>
        <v>167.29999999999998</v>
      </c>
      <c r="G262">
        <v>148.80000000000001</v>
      </c>
      <c r="H262">
        <v>155.6</v>
      </c>
      <c r="I262">
        <v>135.1</v>
      </c>
      <c r="J262">
        <v>149.9</v>
      </c>
      <c r="K262">
        <v>168.6</v>
      </c>
      <c r="L262">
        <v>150.4</v>
      </c>
      <c r="M262">
        <v>120.3</v>
      </c>
      <c r="N262">
        <v>157.1</v>
      </c>
      <c r="O262">
        <v>136.80000000000001</v>
      </c>
      <c r="P262">
        <f t="shared" si="55"/>
        <v>159.1</v>
      </c>
      <c r="Q262">
        <v>151.4</v>
      </c>
      <c r="R262">
        <f t="shared" si="56"/>
        <v>170.16666666666666</v>
      </c>
      <c r="S262">
        <f t="shared" si="57"/>
        <v>150.83333333333334</v>
      </c>
      <c r="T262">
        <f t="shared" si="58"/>
        <v>141.70000000000002</v>
      </c>
      <c r="U262">
        <f t="shared" si="59"/>
        <v>149.5</v>
      </c>
      <c r="V262">
        <v>144.1</v>
      </c>
      <c r="W262">
        <f t="shared" si="60"/>
        <v>146.33333333333334</v>
      </c>
      <c r="X262">
        <v>150.69999999999999</v>
      </c>
      <c r="Y262">
        <f t="shared" si="61"/>
        <v>132.33333333333334</v>
      </c>
      <c r="Z262">
        <f t="shared" si="62"/>
        <v>143.23333333333332</v>
      </c>
      <c r="AA262">
        <f t="shared" si="63"/>
        <v>156.13333333333333</v>
      </c>
      <c r="AB262">
        <f t="shared" si="64"/>
        <v>143.63333333333335</v>
      </c>
      <c r="AC262">
        <f t="shared" si="65"/>
        <v>143.6</v>
      </c>
      <c r="AD262">
        <f t="shared" si="66"/>
        <v>149.29999999999998</v>
      </c>
      <c r="AE262">
        <f t="shared" si="44"/>
        <v>151.4</v>
      </c>
      <c r="AF262">
        <f t="shared" si="45"/>
        <v>155.6</v>
      </c>
      <c r="AG262">
        <f t="shared" si="46"/>
        <v>156.13333333333333</v>
      </c>
      <c r="AH262">
        <f t="shared" si="47"/>
        <v>144.1</v>
      </c>
      <c r="AI262">
        <f t="shared" si="48"/>
        <v>150.69999999999999</v>
      </c>
      <c r="AJ262">
        <f t="shared" si="49"/>
        <v>132.33333333333334</v>
      </c>
      <c r="AK262">
        <f t="shared" si="50"/>
        <v>146.56666666666666</v>
      </c>
      <c r="AL262">
        <f t="shared" si="51"/>
        <v>143.23333333333332</v>
      </c>
      <c r="AM262">
        <f t="shared" si="52"/>
        <v>170.16666666666666</v>
      </c>
      <c r="AN262">
        <f t="shared" si="53"/>
        <v>144.96666666666667</v>
      </c>
      <c r="AO262">
        <f t="shared" si="54"/>
        <v>149.52000000000004</v>
      </c>
    </row>
    <row r="263" spans="1:41" hidden="1" x14ac:dyDescent="0.45">
      <c r="A263" t="s">
        <v>30</v>
      </c>
      <c r="B263">
        <v>2020</v>
      </c>
      <c r="C263" t="s">
        <v>38</v>
      </c>
      <c r="D263" t="s">
        <v>32</v>
      </c>
      <c r="E263">
        <f>AVERAGE(E254,E257,E260)</f>
        <v>145.26666666666668</v>
      </c>
      <c r="F263">
        <f>AVERAGE($F254,$F257,$F260)</f>
        <v>167.16666666666666</v>
      </c>
      <c r="G263">
        <f>AVERAGE($G254,$G257,$G260)</f>
        <v>148.46666666666667</v>
      </c>
      <c r="H263">
        <f>AVERAGE($H254,$H257,$H260)</f>
        <v>152.73333333333335</v>
      </c>
      <c r="I263">
        <f>AVERAGE($I254,$I257,$I260)</f>
        <v>134.70000000000002</v>
      </c>
      <c r="J263">
        <f>AVERAGE($J254,$J257,$J260)</f>
        <v>143.26666666666668</v>
      </c>
      <c r="K263">
        <f>AVERAGE($K254,$K257,$K260)</f>
        <v>160.03333333333333</v>
      </c>
      <c r="L263">
        <f>AVERAGE($L254,$L257,$L260)</f>
        <v>144.6</v>
      </c>
      <c r="M263">
        <f>AVERAGE($M254,$M257,$M260)</f>
        <v>115.16666666666667</v>
      </c>
      <c r="N263">
        <f>AVERAGE($N254,$N257,$N260)</f>
        <v>155.16666666666666</v>
      </c>
      <c r="O263">
        <f>AVERAGE($O254,$O257,$O260)</f>
        <v>139.79999999999998</v>
      </c>
      <c r="P263">
        <f t="shared" si="55"/>
        <v>159.5</v>
      </c>
      <c r="Q263">
        <f>AVERAGE($Q254,$Q257,$Q260)</f>
        <v>149.36666666666667</v>
      </c>
      <c r="R263">
        <f t="shared" si="56"/>
        <v>169.79999999999998</v>
      </c>
      <c r="S263">
        <f t="shared" si="57"/>
        <v>153.15555555555557</v>
      </c>
      <c r="T263">
        <f t="shared" si="58"/>
        <v>147.53333333333333</v>
      </c>
      <c r="U263">
        <f t="shared" si="59"/>
        <v>152.36666666666667</v>
      </c>
      <c r="V263">
        <f>AVERAGE($V254,$V257,$V260)</f>
        <v>151.36666666666667</v>
      </c>
      <c r="W263">
        <f t="shared" si="60"/>
        <v>151.65555555555557</v>
      </c>
      <c r="X263">
        <f>AVERAGE($X254,$X257,$X260)</f>
        <v>155.73333333333332</v>
      </c>
      <c r="Y263">
        <f t="shared" si="61"/>
        <v>135.86666666666667</v>
      </c>
      <c r="Z263">
        <f t="shared" si="62"/>
        <v>150.72222222222223</v>
      </c>
      <c r="AA263">
        <f t="shared" si="63"/>
        <v>161.56666666666669</v>
      </c>
      <c r="AB263">
        <f t="shared" si="64"/>
        <v>144.05555555555554</v>
      </c>
      <c r="AC263">
        <f t="shared" si="65"/>
        <v>148.45555555555555</v>
      </c>
      <c r="AD263">
        <f t="shared" si="66"/>
        <v>150.30000000000004</v>
      </c>
      <c r="AE263">
        <f t="shared" si="44"/>
        <v>149.36666666666667</v>
      </c>
      <c r="AF263" t="str">
        <f t="shared" si="45"/>
        <v>NA</v>
      </c>
      <c r="AG263">
        <f t="shared" si="46"/>
        <v>161.56666666666669</v>
      </c>
      <c r="AH263">
        <f t="shared" si="47"/>
        <v>151.36666666666667</v>
      </c>
      <c r="AI263">
        <f t="shared" si="48"/>
        <v>155.73333333333332</v>
      </c>
      <c r="AJ263">
        <f t="shared" si="49"/>
        <v>135.86666666666667</v>
      </c>
      <c r="AK263">
        <f t="shared" si="50"/>
        <v>148.21111111111111</v>
      </c>
      <c r="AL263">
        <f t="shared" si="51"/>
        <v>150.72222222222223</v>
      </c>
      <c r="AM263">
        <f t="shared" si="52"/>
        <v>169.79999999999998</v>
      </c>
      <c r="AN263">
        <f t="shared" si="53"/>
        <v>150.05555555555554</v>
      </c>
      <c r="AO263">
        <f t="shared" si="54"/>
        <v>152.52098765432098</v>
      </c>
    </row>
    <row r="264" spans="1:41" hidden="1" x14ac:dyDescent="0.45">
      <c r="A264" t="s">
        <v>33</v>
      </c>
      <c r="B264">
        <v>2020</v>
      </c>
      <c r="C264" t="s">
        <v>38</v>
      </c>
      <c r="D264">
        <f>AVERAGE(D255,D258,D261)</f>
        <v>154.96666666666667</v>
      </c>
      <c r="E264">
        <f>AVERAGE(E255,E258,E261)</f>
        <v>148.16666666666666</v>
      </c>
      <c r="F264">
        <f t="shared" ref="F264:F265" si="67">AVERAGE($F255,$F258,$F261)</f>
        <v>167.55555555555557</v>
      </c>
      <c r="G264">
        <f t="shared" ref="G264:G265" si="68">AVERAGE($G255,$G258,$G261)</f>
        <v>151.29999999999998</v>
      </c>
      <c r="H264">
        <f t="shared" ref="H264:H265" si="69">AVERAGE($H255,$H258,$H261)</f>
        <v>152.43333333333331</v>
      </c>
      <c r="I264">
        <f t="shared" ref="I264:I265" si="70">AVERAGE($I255,$I258,$I261)</f>
        <v>128.83333333333334</v>
      </c>
      <c r="J264">
        <f t="shared" ref="J264:J265" si="71">AVERAGE($J255,$J258,$J261)</f>
        <v>146.43333333333331</v>
      </c>
      <c r="K264">
        <f t="shared" ref="K264:K265" si="72">AVERAGE($K255,$K258,$K261)</f>
        <v>176.23333333333335</v>
      </c>
      <c r="L264">
        <f t="shared" ref="L264:L265" si="73">AVERAGE($L255,$L258,$L261)</f>
        <v>143.36666666666665</v>
      </c>
      <c r="M264">
        <f t="shared" ref="M264:M265" si="74">AVERAGE($M255,$M258,$M261)</f>
        <v>116.73333333333333</v>
      </c>
      <c r="N264">
        <f t="shared" ref="N264:N265" si="75">AVERAGE($N255,$N258,$N261)</f>
        <v>151.96666666666667</v>
      </c>
      <c r="O264">
        <f t="shared" ref="O264:O265" si="76">AVERAGE($O255,$O258,$O261)</f>
        <v>132.29999999999998</v>
      </c>
      <c r="P264">
        <f t="shared" si="55"/>
        <v>158.98888888888891</v>
      </c>
      <c r="Q264">
        <f t="shared" ref="Q264:Q265" si="77">AVERAGE($Q255,$Q258,$Q261)</f>
        <v>151.76666666666665</v>
      </c>
      <c r="R264">
        <f t="shared" si="56"/>
        <v>172.44444444444446</v>
      </c>
      <c r="S264">
        <f t="shared" si="57"/>
        <v>147.44444444444446</v>
      </c>
      <c r="T264">
        <f t="shared" si="58"/>
        <v>133.6</v>
      </c>
      <c r="U264">
        <f t="shared" si="59"/>
        <v>145.34444444444443</v>
      </c>
      <c r="V264">
        <f t="shared" ref="V264:V265" si="78">AVERAGE($V255,$V258,$V261)</f>
        <v>139.13333333333333</v>
      </c>
      <c r="W264">
        <f t="shared" si="60"/>
        <v>140.54444444444445</v>
      </c>
      <c r="X264">
        <f t="shared" ref="X264:X265" si="79">AVERAGE($X255,$X258,$X261)</f>
        <v>144.73333333333332</v>
      </c>
      <c r="Y264">
        <f t="shared" si="61"/>
        <v>128.53333333333333</v>
      </c>
      <c r="Z264">
        <f t="shared" si="62"/>
        <v>137.73333333333335</v>
      </c>
      <c r="AA264">
        <f t="shared" si="63"/>
        <v>152.32222222222222</v>
      </c>
      <c r="AB264">
        <f t="shared" si="64"/>
        <v>144.14444444444447</v>
      </c>
      <c r="AC264">
        <f t="shared" si="65"/>
        <v>138.53333333333333</v>
      </c>
      <c r="AD264">
        <f t="shared" si="66"/>
        <v>147.57777777777778</v>
      </c>
      <c r="AE264">
        <f t="shared" si="44"/>
        <v>151.76666666666665</v>
      </c>
      <c r="AF264">
        <f t="shared" si="45"/>
        <v>154.96666666666667</v>
      </c>
      <c r="AG264">
        <f t="shared" si="46"/>
        <v>152.32222222222222</v>
      </c>
      <c r="AH264">
        <f t="shared" si="47"/>
        <v>139.13333333333333</v>
      </c>
      <c r="AI264">
        <f t="shared" si="48"/>
        <v>144.73333333333332</v>
      </c>
      <c r="AJ264">
        <f t="shared" si="49"/>
        <v>128.53333333333333</v>
      </c>
      <c r="AK264">
        <f t="shared" si="50"/>
        <v>144.74444444444447</v>
      </c>
      <c r="AL264">
        <f t="shared" si="51"/>
        <v>137.73333333333335</v>
      </c>
      <c r="AM264">
        <f t="shared" si="52"/>
        <v>172.44444444444446</v>
      </c>
      <c r="AN264">
        <f t="shared" si="53"/>
        <v>139.53888888888889</v>
      </c>
      <c r="AO264">
        <f t="shared" si="54"/>
        <v>146.59166666666664</v>
      </c>
    </row>
    <row r="265" spans="1:41" hidden="1" x14ac:dyDescent="0.45">
      <c r="A265" t="s">
        <v>34</v>
      </c>
      <c r="B265">
        <v>2020</v>
      </c>
      <c r="C265" t="s">
        <v>38</v>
      </c>
      <c r="D265">
        <v>154.97</v>
      </c>
      <c r="E265">
        <f>AVERAGE(E256,E259,E262)</f>
        <v>146.19999999999999</v>
      </c>
      <c r="F265">
        <f t="shared" si="67"/>
        <v>167.26666666666665</v>
      </c>
      <c r="G265">
        <f t="shared" si="68"/>
        <v>149.56666666666666</v>
      </c>
      <c r="H265">
        <f t="shared" si="69"/>
        <v>152.63333333333333</v>
      </c>
      <c r="I265">
        <f t="shared" si="70"/>
        <v>132.56666666666669</v>
      </c>
      <c r="J265">
        <f t="shared" si="71"/>
        <v>144.73333333333335</v>
      </c>
      <c r="K265">
        <f t="shared" si="72"/>
        <v>165.53333333333333</v>
      </c>
      <c r="L265">
        <f t="shared" si="73"/>
        <v>144.20000000000002</v>
      </c>
      <c r="M265">
        <f t="shared" si="74"/>
        <v>115.7</v>
      </c>
      <c r="N265">
        <f t="shared" si="75"/>
        <v>154.1</v>
      </c>
      <c r="O265">
        <f t="shared" si="76"/>
        <v>136.66666666666666</v>
      </c>
      <c r="P265">
        <f t="shared" si="55"/>
        <v>159.26666666666665</v>
      </c>
      <c r="Q265">
        <f t="shared" si="77"/>
        <v>150.26666666666665</v>
      </c>
      <c r="R265">
        <f t="shared" si="56"/>
        <v>170.48888888888885</v>
      </c>
      <c r="S265">
        <f t="shared" si="57"/>
        <v>150.94444444444446</v>
      </c>
      <c r="T265">
        <f t="shared" si="58"/>
        <v>141.76666666666668</v>
      </c>
      <c r="U265">
        <f t="shared" si="59"/>
        <v>149.6</v>
      </c>
      <c r="V265">
        <f t="shared" si="78"/>
        <v>146.73333333333335</v>
      </c>
      <c r="W265">
        <f t="shared" si="60"/>
        <v>146.37777777777777</v>
      </c>
      <c r="X265">
        <f t="shared" si="79"/>
        <v>151.56666666666666</v>
      </c>
      <c r="Y265">
        <f t="shared" si="61"/>
        <v>132.00000000000003</v>
      </c>
      <c r="Z265">
        <f t="shared" si="62"/>
        <v>143.37777777777777</v>
      </c>
      <c r="AA265">
        <f t="shared" si="63"/>
        <v>156.14444444444442</v>
      </c>
      <c r="AB265">
        <f t="shared" si="64"/>
        <v>144.07777777777778</v>
      </c>
      <c r="AC265">
        <f t="shared" si="65"/>
        <v>143.66666666666666</v>
      </c>
      <c r="AD265">
        <f t="shared" si="66"/>
        <v>149</v>
      </c>
      <c r="AE265">
        <f t="shared" si="44"/>
        <v>150.26666666666665</v>
      </c>
      <c r="AF265">
        <f t="shared" si="45"/>
        <v>154.97</v>
      </c>
      <c r="AG265">
        <f t="shared" si="46"/>
        <v>156.14444444444442</v>
      </c>
      <c r="AH265">
        <f t="shared" si="47"/>
        <v>146.73333333333335</v>
      </c>
      <c r="AI265">
        <f t="shared" si="48"/>
        <v>151.56666666666666</v>
      </c>
      <c r="AJ265">
        <f t="shared" si="49"/>
        <v>132.00000000000003</v>
      </c>
      <c r="AK265">
        <f t="shared" si="50"/>
        <v>146.8388888888889</v>
      </c>
      <c r="AL265">
        <f t="shared" si="51"/>
        <v>143.37777777777777</v>
      </c>
      <c r="AM265">
        <f t="shared" si="52"/>
        <v>170.48888888888885</v>
      </c>
      <c r="AN265">
        <f t="shared" si="53"/>
        <v>145.02222222222221</v>
      </c>
      <c r="AO265">
        <f t="shared" si="54"/>
        <v>149.74088888888886</v>
      </c>
    </row>
    <row r="266" spans="1:41" hidden="1" x14ac:dyDescent="0.45">
      <c r="A266" t="s">
        <v>30</v>
      </c>
      <c r="B266">
        <v>2020</v>
      </c>
      <c r="C266" t="s">
        <v>39</v>
      </c>
      <c r="D266" t="s">
        <v>32</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v>144.9</v>
      </c>
      <c r="W266">
        <v>151.69999999999999</v>
      </c>
      <c r="X266">
        <v>158.19999999999999</v>
      </c>
      <c r="Y266">
        <v>141.4</v>
      </c>
      <c r="Z266">
        <v>153.19999999999999</v>
      </c>
      <c r="AA266">
        <v>161.80000000000001</v>
      </c>
      <c r="AB266">
        <v>151.19999999999999</v>
      </c>
      <c r="AC266">
        <v>151.69999999999999</v>
      </c>
      <c r="AD266">
        <v>152.69999999999999</v>
      </c>
      <c r="AE266">
        <f t="shared" si="44"/>
        <v>152.30000000000001</v>
      </c>
      <c r="AF266" t="str">
        <f t="shared" si="45"/>
        <v>NA</v>
      </c>
      <c r="AG266">
        <f t="shared" si="46"/>
        <v>161.80000000000001</v>
      </c>
      <c r="AH266">
        <f t="shared" si="47"/>
        <v>144.9</v>
      </c>
      <c r="AI266">
        <f t="shared" si="48"/>
        <v>158.19999999999999</v>
      </c>
      <c r="AJ266">
        <f t="shared" si="49"/>
        <v>141.4</v>
      </c>
      <c r="AK266">
        <f t="shared" si="50"/>
        <v>152.64999999999998</v>
      </c>
      <c r="AL266">
        <f t="shared" si="51"/>
        <v>153.19999999999999</v>
      </c>
      <c r="AM266">
        <f t="shared" si="52"/>
        <v>182.4</v>
      </c>
      <c r="AN266">
        <f t="shared" si="53"/>
        <v>151.69999999999999</v>
      </c>
      <c r="AO266">
        <f t="shared" si="54"/>
        <v>155.39444444444447</v>
      </c>
    </row>
    <row r="267" spans="1:41" hidden="1" x14ac:dyDescent="0.45">
      <c r="A267" t="s">
        <v>33</v>
      </c>
      <c r="B267">
        <v>2020</v>
      </c>
      <c r="C267" t="s">
        <v>39</v>
      </c>
      <c r="D267">
        <v>154.69999999999999</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137.1</v>
      </c>
      <c r="W267">
        <v>140.4</v>
      </c>
      <c r="X267">
        <v>148.1</v>
      </c>
      <c r="Y267">
        <v>129.30000000000001</v>
      </c>
      <c r="Z267">
        <v>144.5</v>
      </c>
      <c r="AA267">
        <v>152.5</v>
      </c>
      <c r="AB267">
        <v>152.19999999999999</v>
      </c>
      <c r="AC267">
        <v>142</v>
      </c>
      <c r="AD267">
        <v>150.80000000000001</v>
      </c>
      <c r="AE267">
        <f t="shared" si="44"/>
        <v>157</v>
      </c>
      <c r="AF267">
        <f t="shared" si="45"/>
        <v>154.69999999999999</v>
      </c>
      <c r="AG267">
        <f t="shared" si="46"/>
        <v>152.5</v>
      </c>
      <c r="AH267">
        <f t="shared" si="47"/>
        <v>137.1</v>
      </c>
      <c r="AI267">
        <f t="shared" si="48"/>
        <v>148.1</v>
      </c>
      <c r="AJ267">
        <f t="shared" si="49"/>
        <v>129.30000000000001</v>
      </c>
      <c r="AK267">
        <f t="shared" si="50"/>
        <v>149.69999999999999</v>
      </c>
      <c r="AL267">
        <f t="shared" si="51"/>
        <v>144.5</v>
      </c>
      <c r="AM267">
        <f t="shared" si="52"/>
        <v>186.7</v>
      </c>
      <c r="AN267">
        <f t="shared" si="53"/>
        <v>141.19999999999999</v>
      </c>
      <c r="AO267">
        <f t="shared" si="54"/>
        <v>150.08000000000001</v>
      </c>
    </row>
    <row r="268" spans="1:41" hidden="1" x14ac:dyDescent="0.45">
      <c r="A268" t="s">
        <v>34</v>
      </c>
      <c r="B268">
        <v>2020</v>
      </c>
      <c r="C268" t="s">
        <v>39</v>
      </c>
      <c r="D268">
        <v>154.69999999999999</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141.9</v>
      </c>
      <c r="W268">
        <v>146.4</v>
      </c>
      <c r="X268">
        <v>154.4</v>
      </c>
      <c r="Y268">
        <v>135</v>
      </c>
      <c r="Z268">
        <v>148.30000000000001</v>
      </c>
      <c r="AA268">
        <v>156.4</v>
      </c>
      <c r="AB268">
        <v>151.6</v>
      </c>
      <c r="AC268">
        <v>147</v>
      </c>
      <c r="AD268">
        <v>151.80000000000001</v>
      </c>
      <c r="AE268">
        <f t="shared" si="44"/>
        <v>154</v>
      </c>
      <c r="AF268">
        <f t="shared" si="45"/>
        <v>154.69999999999999</v>
      </c>
      <c r="AG268">
        <f t="shared" si="46"/>
        <v>156.4</v>
      </c>
      <c r="AH268">
        <f t="shared" si="47"/>
        <v>141.9</v>
      </c>
      <c r="AI268">
        <f t="shared" si="48"/>
        <v>154.4</v>
      </c>
      <c r="AJ268">
        <f t="shared" si="49"/>
        <v>135</v>
      </c>
      <c r="AK268">
        <f t="shared" si="50"/>
        <v>151.5</v>
      </c>
      <c r="AL268">
        <f t="shared" si="51"/>
        <v>148.30000000000001</v>
      </c>
      <c r="AM268">
        <f t="shared" si="52"/>
        <v>183.5</v>
      </c>
      <c r="AN268">
        <f t="shared" si="53"/>
        <v>146.69999999999999</v>
      </c>
      <c r="AO268">
        <f t="shared" si="54"/>
        <v>152.64000000000001</v>
      </c>
    </row>
    <row r="269" spans="1:41" hidden="1" x14ac:dyDescent="0.45">
      <c r="A269" t="s">
        <v>30</v>
      </c>
      <c r="B269">
        <v>2020</v>
      </c>
      <c r="C269" t="s">
        <v>40</v>
      </c>
      <c r="D269" t="s">
        <v>32</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v>144.9</v>
      </c>
      <c r="W269">
        <v>151.69999999999999</v>
      </c>
      <c r="X269">
        <v>158.19999999999999</v>
      </c>
      <c r="Y269">
        <v>141.4</v>
      </c>
      <c r="Z269">
        <v>153.19999999999999</v>
      </c>
      <c r="AA269">
        <v>161.80000000000001</v>
      </c>
      <c r="AB269">
        <v>151.19999999999999</v>
      </c>
      <c r="AC269">
        <v>151.69999999999999</v>
      </c>
      <c r="AD269">
        <v>152.69999999999999</v>
      </c>
      <c r="AE269">
        <f t="shared" si="44"/>
        <v>152.30000000000001</v>
      </c>
      <c r="AF269" t="str">
        <f t="shared" si="45"/>
        <v>NA</v>
      </c>
      <c r="AG269">
        <f t="shared" si="46"/>
        <v>161.80000000000001</v>
      </c>
      <c r="AH269">
        <f t="shared" si="47"/>
        <v>144.9</v>
      </c>
      <c r="AI269">
        <f t="shared" si="48"/>
        <v>158.19999999999999</v>
      </c>
      <c r="AJ269">
        <f t="shared" si="49"/>
        <v>141.4</v>
      </c>
      <c r="AK269">
        <f t="shared" si="50"/>
        <v>152.64999999999998</v>
      </c>
      <c r="AL269">
        <f t="shared" si="51"/>
        <v>153.19999999999999</v>
      </c>
      <c r="AM269">
        <f t="shared" si="52"/>
        <v>182.4</v>
      </c>
      <c r="AN269">
        <f t="shared" si="53"/>
        <v>151.69999999999999</v>
      </c>
      <c r="AO269">
        <f t="shared" si="54"/>
        <v>155.39444444444447</v>
      </c>
    </row>
    <row r="270" spans="1:41" hidden="1" x14ac:dyDescent="0.45">
      <c r="A270" t="s">
        <v>33</v>
      </c>
      <c r="B270">
        <v>2020</v>
      </c>
      <c r="C270" t="s">
        <v>40</v>
      </c>
      <c r="D270">
        <v>154.69999999999999</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137.1</v>
      </c>
      <c r="W270">
        <v>140.4</v>
      </c>
      <c r="X270">
        <v>148.1</v>
      </c>
      <c r="Y270">
        <v>129.30000000000001</v>
      </c>
      <c r="Z270">
        <v>144.5</v>
      </c>
      <c r="AA270">
        <v>152.5</v>
      </c>
      <c r="AB270">
        <v>152.19999999999999</v>
      </c>
      <c r="AC270">
        <v>142</v>
      </c>
      <c r="AD270">
        <v>150.80000000000001</v>
      </c>
      <c r="AE270">
        <f t="shared" si="44"/>
        <v>157</v>
      </c>
      <c r="AF270">
        <f t="shared" si="45"/>
        <v>154.69999999999999</v>
      </c>
      <c r="AG270">
        <f t="shared" si="46"/>
        <v>152.5</v>
      </c>
      <c r="AH270">
        <f t="shared" si="47"/>
        <v>137.1</v>
      </c>
      <c r="AI270">
        <f t="shared" si="48"/>
        <v>148.1</v>
      </c>
      <c r="AJ270">
        <f t="shared" si="49"/>
        <v>129.30000000000001</v>
      </c>
      <c r="AK270">
        <f t="shared" si="50"/>
        <v>149.69999999999999</v>
      </c>
      <c r="AL270">
        <f t="shared" si="51"/>
        <v>144.5</v>
      </c>
      <c r="AM270">
        <f t="shared" si="52"/>
        <v>186.7</v>
      </c>
      <c r="AN270">
        <f t="shared" si="53"/>
        <v>141.19999999999999</v>
      </c>
      <c r="AO270">
        <f t="shared" si="54"/>
        <v>150.08000000000001</v>
      </c>
    </row>
    <row r="271" spans="1:41" hidden="1" x14ac:dyDescent="0.45">
      <c r="A271" t="s">
        <v>34</v>
      </c>
      <c r="B271">
        <v>2020</v>
      </c>
      <c r="C271" t="s">
        <v>40</v>
      </c>
      <c r="D271">
        <v>154.69999999999999</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141.9</v>
      </c>
      <c r="W271">
        <v>146.4</v>
      </c>
      <c r="X271">
        <v>154.4</v>
      </c>
      <c r="Y271">
        <v>135</v>
      </c>
      <c r="Z271">
        <v>148.30000000000001</v>
      </c>
      <c r="AA271">
        <v>156.4</v>
      </c>
      <c r="AB271">
        <v>151.6</v>
      </c>
      <c r="AC271">
        <v>147</v>
      </c>
      <c r="AD271">
        <v>151.80000000000001</v>
      </c>
      <c r="AE271">
        <f t="shared" si="44"/>
        <v>154</v>
      </c>
      <c r="AF271">
        <f t="shared" si="45"/>
        <v>154.69999999999999</v>
      </c>
      <c r="AG271">
        <f t="shared" si="46"/>
        <v>156.4</v>
      </c>
      <c r="AH271">
        <f t="shared" si="47"/>
        <v>141.9</v>
      </c>
      <c r="AI271">
        <f t="shared" si="48"/>
        <v>154.4</v>
      </c>
      <c r="AJ271">
        <f t="shared" si="49"/>
        <v>135</v>
      </c>
      <c r="AK271">
        <f t="shared" si="50"/>
        <v>151.5</v>
      </c>
      <c r="AL271">
        <f t="shared" si="51"/>
        <v>148.30000000000001</v>
      </c>
      <c r="AM271">
        <f t="shared" si="52"/>
        <v>183.5</v>
      </c>
      <c r="AN271">
        <f t="shared" si="53"/>
        <v>146.69999999999999</v>
      </c>
      <c r="AO271">
        <f t="shared" si="54"/>
        <v>152.64000000000001</v>
      </c>
    </row>
    <row r="272" spans="1:41" hidden="1" x14ac:dyDescent="0.45">
      <c r="A272" t="s">
        <v>30</v>
      </c>
      <c r="B272">
        <v>2020</v>
      </c>
      <c r="C272" t="s">
        <v>41</v>
      </c>
      <c r="D272" t="s">
        <v>32</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v>145.80000000000001</v>
      </c>
      <c r="W272">
        <v>151.9</v>
      </c>
      <c r="X272">
        <v>158.80000000000001</v>
      </c>
      <c r="Y272">
        <v>143.6</v>
      </c>
      <c r="Z272">
        <v>152.19999999999999</v>
      </c>
      <c r="AA272">
        <v>162.69999999999999</v>
      </c>
      <c r="AB272">
        <v>153.6</v>
      </c>
      <c r="AC272">
        <v>153</v>
      </c>
      <c r="AD272">
        <v>154.69999999999999</v>
      </c>
      <c r="AE272">
        <f t="shared" si="44"/>
        <v>155.30000000000001</v>
      </c>
      <c r="AF272" t="str">
        <f t="shared" si="45"/>
        <v>NA</v>
      </c>
      <c r="AG272">
        <f t="shared" si="46"/>
        <v>162.69999999999999</v>
      </c>
      <c r="AH272">
        <f t="shared" si="47"/>
        <v>145.80000000000001</v>
      </c>
      <c r="AI272">
        <f t="shared" si="48"/>
        <v>158.80000000000001</v>
      </c>
      <c r="AJ272">
        <f t="shared" si="49"/>
        <v>143.6</v>
      </c>
      <c r="AK272">
        <f t="shared" si="50"/>
        <v>153.94999999999999</v>
      </c>
      <c r="AL272">
        <f t="shared" si="51"/>
        <v>152.19999999999999</v>
      </c>
      <c r="AM272">
        <f t="shared" si="52"/>
        <v>180.9</v>
      </c>
      <c r="AN272">
        <f t="shared" si="53"/>
        <v>152.44999999999999</v>
      </c>
      <c r="AO272">
        <f t="shared" si="54"/>
        <v>156.18888888888893</v>
      </c>
    </row>
    <row r="273" spans="1:41" hidden="1" x14ac:dyDescent="0.45">
      <c r="A273" t="s">
        <v>33</v>
      </c>
      <c r="B273">
        <v>2020</v>
      </c>
      <c r="C273" t="s">
        <v>41</v>
      </c>
      <c r="D273">
        <v>155.5</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138.30000000000001</v>
      </c>
      <c r="W273">
        <v>144.5</v>
      </c>
      <c r="X273">
        <v>148.69999999999999</v>
      </c>
      <c r="Y273">
        <v>133.9</v>
      </c>
      <c r="Z273">
        <v>141.19999999999999</v>
      </c>
      <c r="AA273">
        <v>155.5</v>
      </c>
      <c r="AB273">
        <v>155.19999999999999</v>
      </c>
      <c r="AC273">
        <v>144.80000000000001</v>
      </c>
      <c r="AD273">
        <v>152.9</v>
      </c>
      <c r="AE273">
        <f t="shared" si="44"/>
        <v>159.9</v>
      </c>
      <c r="AF273">
        <f t="shared" si="45"/>
        <v>155.5</v>
      </c>
      <c r="AG273">
        <f t="shared" si="46"/>
        <v>155.5</v>
      </c>
      <c r="AH273">
        <f t="shared" si="47"/>
        <v>138.30000000000001</v>
      </c>
      <c r="AI273">
        <f t="shared" si="48"/>
        <v>148.69999999999999</v>
      </c>
      <c r="AJ273">
        <f t="shared" si="49"/>
        <v>133.9</v>
      </c>
      <c r="AK273">
        <f t="shared" si="50"/>
        <v>151.5</v>
      </c>
      <c r="AL273">
        <f t="shared" si="51"/>
        <v>141.19999999999999</v>
      </c>
      <c r="AM273">
        <f t="shared" si="52"/>
        <v>187.2</v>
      </c>
      <c r="AN273">
        <f t="shared" si="53"/>
        <v>144.65</v>
      </c>
      <c r="AO273">
        <f t="shared" si="54"/>
        <v>151.63500000000005</v>
      </c>
    </row>
    <row r="274" spans="1:41" hidden="1" x14ac:dyDescent="0.45">
      <c r="A274" t="s">
        <v>34</v>
      </c>
      <c r="B274">
        <v>2020</v>
      </c>
      <c r="C274" t="s">
        <v>41</v>
      </c>
      <c r="D274">
        <v>155.5</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143</v>
      </c>
      <c r="W274">
        <v>148.4</v>
      </c>
      <c r="X274">
        <v>155</v>
      </c>
      <c r="Y274">
        <v>138.5</v>
      </c>
      <c r="Z274">
        <v>146</v>
      </c>
      <c r="AA274">
        <v>158.5</v>
      </c>
      <c r="AB274">
        <v>154.30000000000001</v>
      </c>
      <c r="AC274">
        <v>149</v>
      </c>
      <c r="AD274">
        <v>153.9</v>
      </c>
      <c r="AE274">
        <f t="shared" si="44"/>
        <v>157</v>
      </c>
      <c r="AF274">
        <f t="shared" si="45"/>
        <v>155.5</v>
      </c>
      <c r="AG274">
        <f t="shared" si="46"/>
        <v>158.5</v>
      </c>
      <c r="AH274">
        <f t="shared" si="47"/>
        <v>143</v>
      </c>
      <c r="AI274">
        <f t="shared" si="48"/>
        <v>155</v>
      </c>
      <c r="AJ274">
        <f t="shared" si="49"/>
        <v>138.5</v>
      </c>
      <c r="AK274">
        <f t="shared" si="50"/>
        <v>153</v>
      </c>
      <c r="AL274">
        <f t="shared" si="51"/>
        <v>146</v>
      </c>
      <c r="AM274">
        <f t="shared" si="52"/>
        <v>182.6</v>
      </c>
      <c r="AN274">
        <f t="shared" si="53"/>
        <v>148.69999999999999</v>
      </c>
      <c r="AO274">
        <f t="shared" si="54"/>
        <v>153.78</v>
      </c>
    </row>
    <row r="275" spans="1:41" hidden="1" x14ac:dyDescent="0.45">
      <c r="A275" t="s">
        <v>30</v>
      </c>
      <c r="B275">
        <v>2020</v>
      </c>
      <c r="C275" t="s">
        <v>42</v>
      </c>
      <c r="D275" t="s">
        <v>32</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v>146.4</v>
      </c>
      <c r="W275">
        <v>151.6</v>
      </c>
      <c r="X275">
        <v>159.1</v>
      </c>
      <c r="Y275">
        <v>144.6</v>
      </c>
      <c r="Z275">
        <v>152.80000000000001</v>
      </c>
      <c r="AA275">
        <v>161.1</v>
      </c>
      <c r="AB275">
        <v>157.4</v>
      </c>
      <c r="AC275">
        <v>153.69999999999999</v>
      </c>
      <c r="AD275">
        <v>155.4</v>
      </c>
      <c r="AE275">
        <f t="shared" si="44"/>
        <v>156.1</v>
      </c>
      <c r="AF275" t="str">
        <f t="shared" si="45"/>
        <v>NA</v>
      </c>
      <c r="AG275">
        <f t="shared" si="46"/>
        <v>161.1</v>
      </c>
      <c r="AH275">
        <f t="shared" si="47"/>
        <v>146.4</v>
      </c>
      <c r="AI275">
        <f t="shared" si="48"/>
        <v>159.1</v>
      </c>
      <c r="AJ275">
        <f t="shared" si="49"/>
        <v>144.6</v>
      </c>
      <c r="AK275">
        <f t="shared" si="50"/>
        <v>156</v>
      </c>
      <c r="AL275">
        <f t="shared" si="51"/>
        <v>152.80000000000001</v>
      </c>
      <c r="AM275">
        <f t="shared" si="52"/>
        <v>182.9</v>
      </c>
      <c r="AN275">
        <f t="shared" si="53"/>
        <v>152.64999999999998</v>
      </c>
      <c r="AO275">
        <f t="shared" si="54"/>
        <v>156.85000000000002</v>
      </c>
    </row>
    <row r="276" spans="1:41" hidden="1" x14ac:dyDescent="0.45">
      <c r="A276" t="s">
        <v>33</v>
      </c>
      <c r="B276">
        <v>2020</v>
      </c>
      <c r="C276" t="s">
        <v>42</v>
      </c>
      <c r="D276">
        <v>156.30000000000001</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137.19999999999999</v>
      </c>
      <c r="W276">
        <v>145.4</v>
      </c>
      <c r="X276">
        <v>150</v>
      </c>
      <c r="Y276">
        <v>135.1</v>
      </c>
      <c r="Z276">
        <v>141.80000000000001</v>
      </c>
      <c r="AA276">
        <v>154.9</v>
      </c>
      <c r="AB276">
        <v>159.80000000000001</v>
      </c>
      <c r="AC276">
        <v>146</v>
      </c>
      <c r="AD276">
        <v>154</v>
      </c>
      <c r="AE276">
        <f t="shared" si="44"/>
        <v>161.30000000000001</v>
      </c>
      <c r="AF276">
        <f t="shared" si="45"/>
        <v>156.30000000000001</v>
      </c>
      <c r="AG276">
        <f t="shared" si="46"/>
        <v>154.9</v>
      </c>
      <c r="AH276">
        <f t="shared" si="47"/>
        <v>137.19999999999999</v>
      </c>
      <c r="AI276">
        <f t="shared" si="48"/>
        <v>150</v>
      </c>
      <c r="AJ276">
        <f t="shared" si="49"/>
        <v>135.1</v>
      </c>
      <c r="AK276">
        <f t="shared" si="50"/>
        <v>153.94999999999999</v>
      </c>
      <c r="AL276">
        <f t="shared" si="51"/>
        <v>141.80000000000001</v>
      </c>
      <c r="AM276">
        <f t="shared" si="52"/>
        <v>188.7</v>
      </c>
      <c r="AN276">
        <f t="shared" si="53"/>
        <v>145.69999999999999</v>
      </c>
      <c r="AO276">
        <f t="shared" si="54"/>
        <v>152.495</v>
      </c>
    </row>
    <row r="277" spans="1:41" hidden="1" x14ac:dyDescent="0.45">
      <c r="A277" t="s">
        <v>34</v>
      </c>
      <c r="B277">
        <v>2020</v>
      </c>
      <c r="C277" t="s">
        <v>42</v>
      </c>
      <c r="D277">
        <v>156.30000000000001</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142.9</v>
      </c>
      <c r="W277">
        <v>148.69999999999999</v>
      </c>
      <c r="X277">
        <v>155.6</v>
      </c>
      <c r="Y277">
        <v>139.6</v>
      </c>
      <c r="Z277">
        <v>146.6</v>
      </c>
      <c r="AA277">
        <v>157.5</v>
      </c>
      <c r="AB277">
        <v>158.4</v>
      </c>
      <c r="AC277">
        <v>150</v>
      </c>
      <c r="AD277">
        <v>154.69999999999999</v>
      </c>
      <c r="AE277">
        <f t="shared" si="44"/>
        <v>158</v>
      </c>
      <c r="AF277">
        <f t="shared" si="45"/>
        <v>156.30000000000001</v>
      </c>
      <c r="AG277">
        <f t="shared" si="46"/>
        <v>157.5</v>
      </c>
      <c r="AH277">
        <f t="shared" si="47"/>
        <v>142.9</v>
      </c>
      <c r="AI277">
        <f t="shared" si="48"/>
        <v>155.6</v>
      </c>
      <c r="AJ277">
        <f t="shared" si="49"/>
        <v>139.6</v>
      </c>
      <c r="AK277">
        <f t="shared" si="50"/>
        <v>155.19999999999999</v>
      </c>
      <c r="AL277">
        <f t="shared" si="51"/>
        <v>146.6</v>
      </c>
      <c r="AM277">
        <f t="shared" si="52"/>
        <v>184.4</v>
      </c>
      <c r="AN277">
        <f t="shared" si="53"/>
        <v>149.35</v>
      </c>
      <c r="AO277">
        <f t="shared" si="54"/>
        <v>154.54500000000002</v>
      </c>
    </row>
    <row r="278" spans="1:41" hidden="1" x14ac:dyDescent="0.45">
      <c r="A278" t="s">
        <v>30</v>
      </c>
      <c r="B278">
        <v>2020</v>
      </c>
      <c r="C278" t="s">
        <v>43</v>
      </c>
      <c r="D278" t="s">
        <v>32</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v>146.80000000000001</v>
      </c>
      <c r="W278">
        <v>152</v>
      </c>
      <c r="X278">
        <v>159.5</v>
      </c>
      <c r="Y278">
        <v>146.4</v>
      </c>
      <c r="Z278">
        <v>152.4</v>
      </c>
      <c r="AA278">
        <v>162.5</v>
      </c>
      <c r="AB278">
        <v>156.19999999999999</v>
      </c>
      <c r="AC278">
        <v>154.30000000000001</v>
      </c>
      <c r="AD278">
        <v>157.5</v>
      </c>
      <c r="AE278">
        <f t="shared" si="44"/>
        <v>159.6</v>
      </c>
      <c r="AF278" t="str">
        <f t="shared" si="45"/>
        <v>NA</v>
      </c>
      <c r="AG278">
        <f t="shared" si="46"/>
        <v>162.5</v>
      </c>
      <c r="AH278">
        <f t="shared" si="47"/>
        <v>146.80000000000001</v>
      </c>
      <c r="AI278">
        <f t="shared" si="48"/>
        <v>159.5</v>
      </c>
      <c r="AJ278">
        <f t="shared" si="49"/>
        <v>146.4</v>
      </c>
      <c r="AK278">
        <f t="shared" si="50"/>
        <v>155.6</v>
      </c>
      <c r="AL278">
        <f t="shared" si="51"/>
        <v>152.4</v>
      </c>
      <c r="AM278">
        <f t="shared" si="52"/>
        <v>182.7</v>
      </c>
      <c r="AN278">
        <f t="shared" si="53"/>
        <v>153.15</v>
      </c>
      <c r="AO278">
        <f t="shared" si="54"/>
        <v>157.62777777777782</v>
      </c>
    </row>
    <row r="279" spans="1:41" hidden="1" x14ac:dyDescent="0.45">
      <c r="A279" t="s">
        <v>33</v>
      </c>
      <c r="B279">
        <v>2020</v>
      </c>
      <c r="C279" t="s">
        <v>43</v>
      </c>
      <c r="D279">
        <v>156.5</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137.1</v>
      </c>
      <c r="W279">
        <v>145.1</v>
      </c>
      <c r="X279">
        <v>151</v>
      </c>
      <c r="Y279">
        <v>135.4</v>
      </c>
      <c r="Z279">
        <v>142</v>
      </c>
      <c r="AA279">
        <v>155.69999999999999</v>
      </c>
      <c r="AB279">
        <v>158.1</v>
      </c>
      <c r="AC279">
        <v>146.19999999999999</v>
      </c>
      <c r="AD279">
        <v>155.19999999999999</v>
      </c>
      <c r="AE279">
        <f t="shared" si="44"/>
        <v>164.4</v>
      </c>
      <c r="AF279">
        <f t="shared" si="45"/>
        <v>156.5</v>
      </c>
      <c r="AG279">
        <f t="shared" si="46"/>
        <v>155.69999999999999</v>
      </c>
      <c r="AH279">
        <f t="shared" si="47"/>
        <v>137.1</v>
      </c>
      <c r="AI279">
        <f t="shared" si="48"/>
        <v>151</v>
      </c>
      <c r="AJ279">
        <f t="shared" si="49"/>
        <v>135.4</v>
      </c>
      <c r="AK279">
        <f t="shared" si="50"/>
        <v>153.19999999999999</v>
      </c>
      <c r="AL279">
        <f t="shared" si="51"/>
        <v>142</v>
      </c>
      <c r="AM279">
        <f t="shared" si="52"/>
        <v>188.7</v>
      </c>
      <c r="AN279">
        <f t="shared" si="53"/>
        <v>145.64999999999998</v>
      </c>
      <c r="AO279">
        <f t="shared" si="54"/>
        <v>152.965</v>
      </c>
    </row>
    <row r="280" spans="1:41" hidden="1" x14ac:dyDescent="0.45">
      <c r="A280" t="s">
        <v>34</v>
      </c>
      <c r="B280">
        <v>2020</v>
      </c>
      <c r="C280" t="s">
        <v>43</v>
      </c>
      <c r="D280">
        <v>156.5</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143.1</v>
      </c>
      <c r="W280">
        <v>148.69999999999999</v>
      </c>
      <c r="X280">
        <v>156.30000000000001</v>
      </c>
      <c r="Y280">
        <v>140.6</v>
      </c>
      <c r="Z280">
        <v>146.5</v>
      </c>
      <c r="AA280">
        <v>158.5</v>
      </c>
      <c r="AB280">
        <v>157</v>
      </c>
      <c r="AC280">
        <v>150.4</v>
      </c>
      <c r="AD280">
        <v>156.4</v>
      </c>
      <c r="AE280">
        <f t="shared" si="44"/>
        <v>161.4</v>
      </c>
      <c r="AF280">
        <f t="shared" si="45"/>
        <v>156.5</v>
      </c>
      <c r="AG280">
        <f t="shared" si="46"/>
        <v>158.5</v>
      </c>
      <c r="AH280">
        <f t="shared" si="47"/>
        <v>143.1</v>
      </c>
      <c r="AI280">
        <f t="shared" si="48"/>
        <v>156.30000000000001</v>
      </c>
      <c r="AJ280">
        <f t="shared" si="49"/>
        <v>140.6</v>
      </c>
      <c r="AK280">
        <f t="shared" si="50"/>
        <v>154.65</v>
      </c>
      <c r="AL280">
        <f t="shared" si="51"/>
        <v>146.5</v>
      </c>
      <c r="AM280">
        <f t="shared" si="52"/>
        <v>184.3</v>
      </c>
      <c r="AN280">
        <f t="shared" si="53"/>
        <v>149.55000000000001</v>
      </c>
      <c r="AO280">
        <f t="shared" si="54"/>
        <v>155.13999999999999</v>
      </c>
    </row>
    <row r="281" spans="1:41" hidden="1" x14ac:dyDescent="0.45">
      <c r="A281" t="s">
        <v>30</v>
      </c>
      <c r="B281">
        <v>2020</v>
      </c>
      <c r="C281" t="s">
        <v>45</v>
      </c>
      <c r="D281" t="s">
        <v>32</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v>147.5</v>
      </c>
      <c r="W281">
        <v>152.80000000000001</v>
      </c>
      <c r="X281">
        <v>160.4</v>
      </c>
      <c r="Y281">
        <v>146.1</v>
      </c>
      <c r="Z281">
        <v>153.6</v>
      </c>
      <c r="AA281">
        <v>161.6</v>
      </c>
      <c r="AB281">
        <v>156.19999999999999</v>
      </c>
      <c r="AC281">
        <v>154.5</v>
      </c>
      <c r="AD281">
        <v>159.80000000000001</v>
      </c>
      <c r="AE281">
        <f t="shared" si="44"/>
        <v>163.4</v>
      </c>
      <c r="AF281" t="str">
        <f t="shared" si="45"/>
        <v>NA</v>
      </c>
      <c r="AG281">
        <f t="shared" si="46"/>
        <v>161.6</v>
      </c>
      <c r="AH281">
        <f t="shared" si="47"/>
        <v>147.5</v>
      </c>
      <c r="AI281">
        <f t="shared" si="48"/>
        <v>160.4</v>
      </c>
      <c r="AJ281">
        <f t="shared" si="49"/>
        <v>146.1</v>
      </c>
      <c r="AK281">
        <f t="shared" si="50"/>
        <v>155.85</v>
      </c>
      <c r="AL281">
        <f t="shared" si="51"/>
        <v>153.6</v>
      </c>
      <c r="AM281">
        <f t="shared" si="52"/>
        <v>183.4</v>
      </c>
      <c r="AN281">
        <f t="shared" si="53"/>
        <v>153.65</v>
      </c>
      <c r="AO281">
        <f t="shared" si="54"/>
        <v>158.38888888888891</v>
      </c>
    </row>
    <row r="282" spans="1:41" hidden="1" x14ac:dyDescent="0.45">
      <c r="A282" t="s">
        <v>33</v>
      </c>
      <c r="B282">
        <v>2020</v>
      </c>
      <c r="C282" t="s">
        <v>45</v>
      </c>
      <c r="D282">
        <v>158</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137.30000000000001</v>
      </c>
      <c r="W282">
        <v>145.1</v>
      </c>
      <c r="X282">
        <v>152</v>
      </c>
      <c r="Y282">
        <v>135.19999999999999</v>
      </c>
      <c r="Z282">
        <v>144.4</v>
      </c>
      <c r="AA282">
        <v>156.4</v>
      </c>
      <c r="AB282">
        <v>157.9</v>
      </c>
      <c r="AC282">
        <v>146.6</v>
      </c>
      <c r="AD282">
        <v>156.69999999999999</v>
      </c>
      <c r="AE282">
        <f t="shared" si="44"/>
        <v>167</v>
      </c>
      <c r="AF282">
        <f t="shared" si="45"/>
        <v>158</v>
      </c>
      <c r="AG282">
        <f t="shared" si="46"/>
        <v>156.4</v>
      </c>
      <c r="AH282">
        <f t="shared" si="47"/>
        <v>137.30000000000001</v>
      </c>
      <c r="AI282">
        <f t="shared" si="48"/>
        <v>152</v>
      </c>
      <c r="AJ282">
        <f t="shared" si="49"/>
        <v>135.19999999999999</v>
      </c>
      <c r="AK282">
        <f t="shared" si="50"/>
        <v>153.35000000000002</v>
      </c>
      <c r="AL282">
        <f t="shared" si="51"/>
        <v>144.4</v>
      </c>
      <c r="AM282">
        <f t="shared" si="52"/>
        <v>188.8</v>
      </c>
      <c r="AN282">
        <f t="shared" si="53"/>
        <v>145.85</v>
      </c>
      <c r="AO282">
        <f t="shared" si="54"/>
        <v>153.82999999999998</v>
      </c>
    </row>
    <row r="283" spans="1:41" hidden="1" x14ac:dyDescent="0.45">
      <c r="A283" t="s">
        <v>34</v>
      </c>
      <c r="B283">
        <v>2020</v>
      </c>
      <c r="C283" t="s">
        <v>45</v>
      </c>
      <c r="D283">
        <v>158</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143.6</v>
      </c>
      <c r="W283">
        <v>149.19999999999999</v>
      </c>
      <c r="X283">
        <v>157.19999999999999</v>
      </c>
      <c r="Y283">
        <v>140.4</v>
      </c>
      <c r="Z283">
        <v>148.4</v>
      </c>
      <c r="AA283">
        <v>158.6</v>
      </c>
      <c r="AB283">
        <v>156.9</v>
      </c>
      <c r="AC283">
        <v>150.69999999999999</v>
      </c>
      <c r="AD283">
        <v>158.4</v>
      </c>
      <c r="AE283">
        <f t="shared" si="44"/>
        <v>164.7</v>
      </c>
      <c r="AF283">
        <f t="shared" si="45"/>
        <v>158</v>
      </c>
      <c r="AG283">
        <f t="shared" si="46"/>
        <v>158.6</v>
      </c>
      <c r="AH283">
        <f t="shared" si="47"/>
        <v>143.6</v>
      </c>
      <c r="AI283">
        <f t="shared" si="48"/>
        <v>157.19999999999999</v>
      </c>
      <c r="AJ283">
        <f t="shared" si="49"/>
        <v>140.4</v>
      </c>
      <c r="AK283">
        <f t="shared" si="50"/>
        <v>154.85000000000002</v>
      </c>
      <c r="AL283">
        <f t="shared" si="51"/>
        <v>148.4</v>
      </c>
      <c r="AM283">
        <f t="shared" si="52"/>
        <v>184.8</v>
      </c>
      <c r="AN283">
        <f t="shared" si="53"/>
        <v>149.94999999999999</v>
      </c>
      <c r="AO283">
        <f t="shared" si="54"/>
        <v>156.05000000000001</v>
      </c>
    </row>
    <row r="284" spans="1:41" hidden="1" x14ac:dyDescent="0.45">
      <c r="A284" t="s">
        <v>30</v>
      </c>
      <c r="B284">
        <v>2020</v>
      </c>
      <c r="C284" t="s">
        <v>46</v>
      </c>
      <c r="D284" t="s">
        <v>32</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v>148.69999999999999</v>
      </c>
      <c r="W284">
        <v>153.4</v>
      </c>
      <c r="X284">
        <v>161.6</v>
      </c>
      <c r="Y284">
        <v>146.4</v>
      </c>
      <c r="Z284">
        <v>153.9</v>
      </c>
      <c r="AA284">
        <v>162.9</v>
      </c>
      <c r="AB284">
        <v>156.6</v>
      </c>
      <c r="AC284">
        <v>155.19999999999999</v>
      </c>
      <c r="AD284">
        <v>160.69999999999999</v>
      </c>
      <c r="AE284">
        <f t="shared" si="44"/>
        <v>164.5</v>
      </c>
      <c r="AF284" t="str">
        <f t="shared" si="45"/>
        <v>NA</v>
      </c>
      <c r="AG284">
        <f t="shared" si="46"/>
        <v>162.9</v>
      </c>
      <c r="AH284">
        <f t="shared" si="47"/>
        <v>148.69999999999999</v>
      </c>
      <c r="AI284">
        <f t="shared" si="48"/>
        <v>161.6</v>
      </c>
      <c r="AJ284">
        <f t="shared" si="49"/>
        <v>146.4</v>
      </c>
      <c r="AK284">
        <f t="shared" si="50"/>
        <v>156.44999999999999</v>
      </c>
      <c r="AL284">
        <f t="shared" si="51"/>
        <v>153.9</v>
      </c>
      <c r="AM284">
        <f t="shared" si="52"/>
        <v>183.6</v>
      </c>
      <c r="AN284">
        <f t="shared" si="53"/>
        <v>154.30000000000001</v>
      </c>
      <c r="AO284">
        <f t="shared" si="54"/>
        <v>159.14999999999998</v>
      </c>
    </row>
    <row r="285" spans="1:41" hidden="1" x14ac:dyDescent="0.45">
      <c r="A285" t="s">
        <v>33</v>
      </c>
      <c r="B285">
        <v>2020</v>
      </c>
      <c r="C285" t="s">
        <v>46</v>
      </c>
      <c r="D285">
        <v>158.4</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137.9</v>
      </c>
      <c r="W285">
        <v>145.5</v>
      </c>
      <c r="X285">
        <v>152.9</v>
      </c>
      <c r="Y285">
        <v>135.5</v>
      </c>
      <c r="Z285">
        <v>144.30000000000001</v>
      </c>
      <c r="AA285">
        <v>156.9</v>
      </c>
      <c r="AB285">
        <v>157.9</v>
      </c>
      <c r="AC285">
        <v>146.9</v>
      </c>
      <c r="AD285">
        <v>156.9</v>
      </c>
      <c r="AE285">
        <f t="shared" si="44"/>
        <v>167</v>
      </c>
      <c r="AF285">
        <f t="shared" si="45"/>
        <v>158.4</v>
      </c>
      <c r="AG285">
        <f t="shared" si="46"/>
        <v>156.9</v>
      </c>
      <c r="AH285">
        <f t="shared" si="47"/>
        <v>137.9</v>
      </c>
      <c r="AI285">
        <f t="shared" si="48"/>
        <v>152.9</v>
      </c>
      <c r="AJ285">
        <f t="shared" si="49"/>
        <v>135.5</v>
      </c>
      <c r="AK285">
        <f t="shared" si="50"/>
        <v>153.75</v>
      </c>
      <c r="AL285">
        <f t="shared" si="51"/>
        <v>144.30000000000001</v>
      </c>
      <c r="AM285">
        <f t="shared" si="52"/>
        <v>190.2</v>
      </c>
      <c r="AN285">
        <f t="shared" si="53"/>
        <v>146.19999999999999</v>
      </c>
      <c r="AO285">
        <f t="shared" si="54"/>
        <v>154.30500000000001</v>
      </c>
    </row>
    <row r="286" spans="1:41" hidden="1" x14ac:dyDescent="0.45">
      <c r="A286" t="s">
        <v>34</v>
      </c>
      <c r="B286">
        <v>2020</v>
      </c>
      <c r="C286" t="s">
        <v>46</v>
      </c>
      <c r="D286">
        <v>158.4</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144.6</v>
      </c>
      <c r="W286">
        <v>149.69999999999999</v>
      </c>
      <c r="X286">
        <v>158.30000000000001</v>
      </c>
      <c r="Y286">
        <v>140.69999999999999</v>
      </c>
      <c r="Z286">
        <v>148.5</v>
      </c>
      <c r="AA286">
        <v>159.4</v>
      </c>
      <c r="AB286">
        <v>157.1</v>
      </c>
      <c r="AC286">
        <v>151.19999999999999</v>
      </c>
      <c r="AD286">
        <v>158.9</v>
      </c>
      <c r="AE286">
        <f t="shared" si="44"/>
        <v>165.4</v>
      </c>
      <c r="AF286">
        <f t="shared" si="45"/>
        <v>158.4</v>
      </c>
      <c r="AG286">
        <f t="shared" si="46"/>
        <v>159.4</v>
      </c>
      <c r="AH286">
        <f t="shared" si="47"/>
        <v>144.6</v>
      </c>
      <c r="AI286">
        <f t="shared" si="48"/>
        <v>158.30000000000001</v>
      </c>
      <c r="AJ286">
        <f t="shared" si="49"/>
        <v>140.69999999999999</v>
      </c>
      <c r="AK286">
        <f t="shared" si="50"/>
        <v>155.35</v>
      </c>
      <c r="AL286">
        <f t="shared" si="51"/>
        <v>148.5</v>
      </c>
      <c r="AM286">
        <f t="shared" si="52"/>
        <v>185.4</v>
      </c>
      <c r="AN286">
        <f t="shared" si="53"/>
        <v>150.44999999999999</v>
      </c>
      <c r="AO286">
        <f t="shared" si="54"/>
        <v>156.65000000000003</v>
      </c>
    </row>
    <row r="287" spans="1:41" hidden="1" x14ac:dyDescent="0.45">
      <c r="A287" t="s">
        <v>30</v>
      </c>
      <c r="B287">
        <v>2021</v>
      </c>
      <c r="C287" t="s">
        <v>31</v>
      </c>
      <c r="D287" t="s">
        <v>32</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v>150.9</v>
      </c>
      <c r="W287">
        <v>153.9</v>
      </c>
      <c r="X287">
        <v>162.5</v>
      </c>
      <c r="Y287">
        <v>147.5</v>
      </c>
      <c r="Z287">
        <v>155.1</v>
      </c>
      <c r="AA287">
        <v>163.5</v>
      </c>
      <c r="AB287">
        <v>156.19999999999999</v>
      </c>
      <c r="AC287">
        <v>155.9</v>
      </c>
      <c r="AD287">
        <v>158.5</v>
      </c>
      <c r="AE287">
        <f t="shared" si="44"/>
        <v>159.6</v>
      </c>
      <c r="AF287" t="str">
        <f t="shared" si="45"/>
        <v>NA</v>
      </c>
      <c r="AG287">
        <f t="shared" si="46"/>
        <v>163.5</v>
      </c>
      <c r="AH287">
        <f t="shared" si="47"/>
        <v>150.9</v>
      </c>
      <c r="AI287">
        <f t="shared" si="48"/>
        <v>162.5</v>
      </c>
      <c r="AJ287">
        <f t="shared" si="49"/>
        <v>147.5</v>
      </c>
      <c r="AK287">
        <f t="shared" si="50"/>
        <v>156.5</v>
      </c>
      <c r="AL287">
        <f t="shared" si="51"/>
        <v>155.1</v>
      </c>
      <c r="AM287">
        <f t="shared" si="52"/>
        <v>184.6</v>
      </c>
      <c r="AN287">
        <f t="shared" si="53"/>
        <v>154.9</v>
      </c>
      <c r="AO287">
        <f t="shared" si="54"/>
        <v>159.45555555555555</v>
      </c>
    </row>
    <row r="288" spans="1:41" hidden="1" x14ac:dyDescent="0.45">
      <c r="A288" t="s">
        <v>33</v>
      </c>
      <c r="B288">
        <v>2021</v>
      </c>
      <c r="C288" t="s">
        <v>31</v>
      </c>
      <c r="D288">
        <v>157.69999999999999</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142.9</v>
      </c>
      <c r="W288">
        <v>145.69999999999999</v>
      </c>
      <c r="X288">
        <v>154.1</v>
      </c>
      <c r="Y288">
        <v>136.9</v>
      </c>
      <c r="Z288">
        <v>145.4</v>
      </c>
      <c r="AA288">
        <v>156.1</v>
      </c>
      <c r="AB288">
        <v>157.69999999999999</v>
      </c>
      <c r="AC288">
        <v>147.6</v>
      </c>
      <c r="AD288">
        <v>156</v>
      </c>
      <c r="AE288">
        <f t="shared" si="44"/>
        <v>163.4</v>
      </c>
      <c r="AF288">
        <f t="shared" si="45"/>
        <v>157.69999999999999</v>
      </c>
      <c r="AG288">
        <f t="shared" si="46"/>
        <v>156.1</v>
      </c>
      <c r="AH288">
        <f t="shared" si="47"/>
        <v>142.9</v>
      </c>
      <c r="AI288">
        <f t="shared" si="48"/>
        <v>154.1</v>
      </c>
      <c r="AJ288">
        <f t="shared" si="49"/>
        <v>136.9</v>
      </c>
      <c r="AK288">
        <f t="shared" si="50"/>
        <v>153.94999999999999</v>
      </c>
      <c r="AL288">
        <f t="shared" si="51"/>
        <v>145.4</v>
      </c>
      <c r="AM288">
        <f t="shared" si="52"/>
        <v>191.8</v>
      </c>
      <c r="AN288">
        <f t="shared" si="53"/>
        <v>146.64999999999998</v>
      </c>
      <c r="AO288">
        <f t="shared" si="54"/>
        <v>154.89000000000001</v>
      </c>
    </row>
    <row r="289" spans="1:41" hidden="1" x14ac:dyDescent="0.45">
      <c r="A289" t="s">
        <v>34</v>
      </c>
      <c r="B289">
        <v>2021</v>
      </c>
      <c r="C289" t="s">
        <v>31</v>
      </c>
      <c r="D289">
        <v>157.69999999999999</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147.9</v>
      </c>
      <c r="W289">
        <v>150</v>
      </c>
      <c r="X289">
        <v>159.30000000000001</v>
      </c>
      <c r="Y289">
        <v>141.9</v>
      </c>
      <c r="Z289">
        <v>149.6</v>
      </c>
      <c r="AA289">
        <v>159.19999999999999</v>
      </c>
      <c r="AB289">
        <v>156.80000000000001</v>
      </c>
      <c r="AC289">
        <v>151.9</v>
      </c>
      <c r="AD289">
        <v>157.30000000000001</v>
      </c>
      <c r="AE289">
        <f t="shared" si="44"/>
        <v>161</v>
      </c>
      <c r="AF289">
        <f t="shared" si="45"/>
        <v>157.69999999999999</v>
      </c>
      <c r="AG289">
        <f t="shared" si="46"/>
        <v>159.19999999999999</v>
      </c>
      <c r="AH289">
        <f t="shared" si="47"/>
        <v>147.9</v>
      </c>
      <c r="AI289">
        <f t="shared" si="48"/>
        <v>159.30000000000001</v>
      </c>
      <c r="AJ289">
        <f t="shared" si="49"/>
        <v>141.9</v>
      </c>
      <c r="AK289">
        <f t="shared" si="50"/>
        <v>155.5</v>
      </c>
      <c r="AL289">
        <f t="shared" si="51"/>
        <v>149.6</v>
      </c>
      <c r="AM289">
        <f t="shared" si="52"/>
        <v>186.5</v>
      </c>
      <c r="AN289">
        <f t="shared" si="53"/>
        <v>150.94999999999999</v>
      </c>
      <c r="AO289">
        <f t="shared" si="54"/>
        <v>156.95499999999998</v>
      </c>
    </row>
    <row r="290" spans="1:41" hidden="1" x14ac:dyDescent="0.45">
      <c r="A290" t="s">
        <v>30</v>
      </c>
      <c r="B290">
        <v>2021</v>
      </c>
      <c r="C290" t="s">
        <v>35</v>
      </c>
      <c r="D290" t="s">
        <v>32</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v>154.4</v>
      </c>
      <c r="W290">
        <v>154.80000000000001</v>
      </c>
      <c r="X290">
        <v>164.3</v>
      </c>
      <c r="Y290">
        <v>150.19999999999999</v>
      </c>
      <c r="Z290">
        <v>157</v>
      </c>
      <c r="AA290">
        <v>163.6</v>
      </c>
      <c r="AB290">
        <v>155.19999999999999</v>
      </c>
      <c r="AC290">
        <v>157.19999999999999</v>
      </c>
      <c r="AD290">
        <v>156.69999999999999</v>
      </c>
      <c r="AE290">
        <f t="shared" si="44"/>
        <v>154.69999999999999</v>
      </c>
      <c r="AF290" t="str">
        <f t="shared" si="45"/>
        <v>NA</v>
      </c>
      <c r="AG290">
        <f t="shared" si="46"/>
        <v>163.6</v>
      </c>
      <c r="AH290">
        <f t="shared" si="47"/>
        <v>154.4</v>
      </c>
      <c r="AI290">
        <f t="shared" si="48"/>
        <v>164.3</v>
      </c>
      <c r="AJ290">
        <f t="shared" si="49"/>
        <v>150.19999999999999</v>
      </c>
      <c r="AK290">
        <f t="shared" si="50"/>
        <v>156.80000000000001</v>
      </c>
      <c r="AL290">
        <f t="shared" si="51"/>
        <v>157</v>
      </c>
      <c r="AM290">
        <f t="shared" si="52"/>
        <v>186.5</v>
      </c>
      <c r="AN290">
        <f t="shared" si="53"/>
        <v>156</v>
      </c>
      <c r="AO290">
        <f t="shared" si="54"/>
        <v>160.38888888888889</v>
      </c>
    </row>
    <row r="291" spans="1:41" hidden="1" x14ac:dyDescent="0.45">
      <c r="A291" t="s">
        <v>33</v>
      </c>
      <c r="B291">
        <v>2021</v>
      </c>
      <c r="C291" t="s">
        <v>35</v>
      </c>
      <c r="D291">
        <v>159.80000000000001</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149.1</v>
      </c>
      <c r="W291">
        <v>146.5</v>
      </c>
      <c r="X291">
        <v>156.30000000000001</v>
      </c>
      <c r="Y291">
        <v>140.5</v>
      </c>
      <c r="Z291">
        <v>147.30000000000001</v>
      </c>
      <c r="AA291">
        <v>156.6</v>
      </c>
      <c r="AB291">
        <v>156.69999999999999</v>
      </c>
      <c r="AC291">
        <v>149.30000000000001</v>
      </c>
      <c r="AD291">
        <v>156.5</v>
      </c>
      <c r="AE291">
        <f t="shared" si="44"/>
        <v>160.80000000000001</v>
      </c>
      <c r="AF291">
        <f t="shared" si="45"/>
        <v>159.80000000000001</v>
      </c>
      <c r="AG291">
        <f t="shared" si="46"/>
        <v>156.6</v>
      </c>
      <c r="AH291">
        <f t="shared" si="47"/>
        <v>149.1</v>
      </c>
      <c r="AI291">
        <f t="shared" si="48"/>
        <v>156.30000000000001</v>
      </c>
      <c r="AJ291">
        <f t="shared" si="49"/>
        <v>140.5</v>
      </c>
      <c r="AK291">
        <f t="shared" si="50"/>
        <v>154.25</v>
      </c>
      <c r="AL291">
        <f t="shared" si="51"/>
        <v>147.30000000000001</v>
      </c>
      <c r="AM291">
        <f t="shared" si="52"/>
        <v>193.3</v>
      </c>
      <c r="AN291">
        <f t="shared" si="53"/>
        <v>147.9</v>
      </c>
      <c r="AO291">
        <f t="shared" si="54"/>
        <v>156.58500000000001</v>
      </c>
    </row>
    <row r="292" spans="1:41" hidden="1" x14ac:dyDescent="0.45">
      <c r="A292" t="s">
        <v>34</v>
      </c>
      <c r="B292">
        <v>2021</v>
      </c>
      <c r="C292" t="s">
        <v>35</v>
      </c>
      <c r="D292">
        <v>159.80000000000001</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152.4</v>
      </c>
      <c r="W292">
        <v>150.9</v>
      </c>
      <c r="X292">
        <v>161.30000000000001</v>
      </c>
      <c r="Y292">
        <v>145.1</v>
      </c>
      <c r="Z292">
        <v>151.5</v>
      </c>
      <c r="AA292">
        <v>159.5</v>
      </c>
      <c r="AB292">
        <v>155.80000000000001</v>
      </c>
      <c r="AC292">
        <v>153.4</v>
      </c>
      <c r="AD292">
        <v>156.6</v>
      </c>
      <c r="AE292">
        <f t="shared" si="44"/>
        <v>156.9</v>
      </c>
      <c r="AF292">
        <f t="shared" si="45"/>
        <v>159.80000000000001</v>
      </c>
      <c r="AG292">
        <f t="shared" si="46"/>
        <v>159.5</v>
      </c>
      <c r="AH292">
        <f t="shared" si="47"/>
        <v>152.4</v>
      </c>
      <c r="AI292">
        <f t="shared" si="48"/>
        <v>161.30000000000001</v>
      </c>
      <c r="AJ292">
        <f t="shared" si="49"/>
        <v>145.1</v>
      </c>
      <c r="AK292">
        <f t="shared" si="50"/>
        <v>155.80000000000001</v>
      </c>
      <c r="AL292">
        <f t="shared" si="51"/>
        <v>151.5</v>
      </c>
      <c r="AM292">
        <f t="shared" si="52"/>
        <v>188.3</v>
      </c>
      <c r="AN292">
        <f t="shared" si="53"/>
        <v>152.15</v>
      </c>
      <c r="AO292">
        <f t="shared" si="54"/>
        <v>158.27500000000003</v>
      </c>
    </row>
    <row r="293" spans="1:41" hidden="1" x14ac:dyDescent="0.45">
      <c r="A293" t="s">
        <v>30</v>
      </c>
      <c r="B293">
        <v>2021</v>
      </c>
      <c r="C293" t="s">
        <v>36</v>
      </c>
      <c r="D293" t="s">
        <v>48</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v>156</v>
      </c>
      <c r="W293">
        <v>154.80000000000001</v>
      </c>
      <c r="X293">
        <v>164.6</v>
      </c>
      <c r="Y293">
        <v>151.30000000000001</v>
      </c>
      <c r="Z293">
        <v>157.80000000000001</v>
      </c>
      <c r="AA293">
        <v>163.80000000000001</v>
      </c>
      <c r="AB293">
        <v>153.1</v>
      </c>
      <c r="AC293">
        <v>157.30000000000001</v>
      </c>
      <c r="AD293">
        <v>156.69999999999999</v>
      </c>
      <c r="AE293">
        <f t="shared" si="44"/>
        <v>154.5</v>
      </c>
      <c r="AF293" t="str">
        <f t="shared" si="45"/>
        <v>-</v>
      </c>
      <c r="AG293">
        <f t="shared" si="46"/>
        <v>163.80000000000001</v>
      </c>
      <c r="AH293">
        <f t="shared" si="47"/>
        <v>156</v>
      </c>
      <c r="AI293">
        <f t="shared" si="48"/>
        <v>164.6</v>
      </c>
      <c r="AJ293">
        <f t="shared" si="49"/>
        <v>151.30000000000001</v>
      </c>
      <c r="AK293">
        <f t="shared" si="50"/>
        <v>156</v>
      </c>
      <c r="AL293">
        <f t="shared" si="51"/>
        <v>157.80000000000001</v>
      </c>
      <c r="AM293">
        <f t="shared" si="52"/>
        <v>186.1</v>
      </c>
      <c r="AN293">
        <f t="shared" si="53"/>
        <v>156.05000000000001</v>
      </c>
      <c r="AO293">
        <f t="shared" si="54"/>
        <v>160.68333333333331</v>
      </c>
    </row>
    <row r="294" spans="1:41" hidden="1" x14ac:dyDescent="0.45">
      <c r="A294" t="s">
        <v>33</v>
      </c>
      <c r="B294">
        <v>2021</v>
      </c>
      <c r="C294" t="s">
        <v>36</v>
      </c>
      <c r="D294">
        <v>159.9</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154.80000000000001</v>
      </c>
      <c r="W294">
        <v>147.19999999999999</v>
      </c>
      <c r="X294">
        <v>156.9</v>
      </c>
      <c r="Y294">
        <v>141.69999999999999</v>
      </c>
      <c r="Z294">
        <v>148.6</v>
      </c>
      <c r="AA294">
        <v>157.6</v>
      </c>
      <c r="AB294">
        <v>154.9</v>
      </c>
      <c r="AC294">
        <v>150</v>
      </c>
      <c r="AD294">
        <v>156.9</v>
      </c>
      <c r="AE294">
        <f t="shared" si="44"/>
        <v>160.4</v>
      </c>
      <c r="AF294">
        <f t="shared" si="45"/>
        <v>159.9</v>
      </c>
      <c r="AG294">
        <f t="shared" si="46"/>
        <v>157.6</v>
      </c>
      <c r="AH294">
        <f t="shared" si="47"/>
        <v>154.80000000000001</v>
      </c>
      <c r="AI294">
        <f t="shared" si="48"/>
        <v>156.9</v>
      </c>
      <c r="AJ294">
        <f t="shared" si="49"/>
        <v>141.69999999999999</v>
      </c>
      <c r="AK294">
        <f t="shared" si="50"/>
        <v>153.75</v>
      </c>
      <c r="AL294">
        <f t="shared" si="51"/>
        <v>148.6</v>
      </c>
      <c r="AM294">
        <f t="shared" si="52"/>
        <v>193.5</v>
      </c>
      <c r="AN294">
        <f t="shared" si="53"/>
        <v>148.6</v>
      </c>
      <c r="AO294">
        <f t="shared" si="54"/>
        <v>157.57499999999999</v>
      </c>
    </row>
    <row r="295" spans="1:41" hidden="1" x14ac:dyDescent="0.45">
      <c r="A295" t="s">
        <v>34</v>
      </c>
      <c r="B295">
        <v>2021</v>
      </c>
      <c r="C295" t="s">
        <v>36</v>
      </c>
      <c r="D295">
        <v>159.9</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155.5</v>
      </c>
      <c r="W295">
        <v>151.19999999999999</v>
      </c>
      <c r="X295">
        <v>161.69999999999999</v>
      </c>
      <c r="Y295">
        <v>146.19999999999999</v>
      </c>
      <c r="Z295">
        <v>152.6</v>
      </c>
      <c r="AA295">
        <v>160.19999999999999</v>
      </c>
      <c r="AB295">
        <v>153.80000000000001</v>
      </c>
      <c r="AC295">
        <v>153.80000000000001</v>
      </c>
      <c r="AD295">
        <v>156.80000000000001</v>
      </c>
      <c r="AE295">
        <f t="shared" si="44"/>
        <v>156.69999999999999</v>
      </c>
      <c r="AF295">
        <f t="shared" si="45"/>
        <v>159.9</v>
      </c>
      <c r="AG295">
        <f t="shared" si="46"/>
        <v>160.19999999999999</v>
      </c>
      <c r="AH295">
        <f t="shared" si="47"/>
        <v>155.5</v>
      </c>
      <c r="AI295">
        <f t="shared" si="48"/>
        <v>161.69999999999999</v>
      </c>
      <c r="AJ295">
        <f t="shared" si="49"/>
        <v>146.19999999999999</v>
      </c>
      <c r="AK295">
        <f t="shared" si="50"/>
        <v>155.10000000000002</v>
      </c>
      <c r="AL295">
        <f t="shared" si="51"/>
        <v>152.6</v>
      </c>
      <c r="AM295">
        <f t="shared" si="52"/>
        <v>188.1</v>
      </c>
      <c r="AN295">
        <f t="shared" si="53"/>
        <v>152.5</v>
      </c>
      <c r="AO295">
        <f t="shared" si="54"/>
        <v>158.85</v>
      </c>
    </row>
    <row r="296" spans="1:41" hidden="1" x14ac:dyDescent="0.45">
      <c r="A296" t="s">
        <v>30</v>
      </c>
      <c r="B296">
        <v>2021</v>
      </c>
      <c r="C296" t="s">
        <v>37</v>
      </c>
      <c r="D296" t="s">
        <v>48</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v>156</v>
      </c>
      <c r="W296">
        <v>155.5</v>
      </c>
      <c r="X296">
        <v>165.3</v>
      </c>
      <c r="Y296">
        <v>151.69999999999999</v>
      </c>
      <c r="Z296">
        <v>158.6</v>
      </c>
      <c r="AA296">
        <v>164.1</v>
      </c>
      <c r="AB296">
        <v>154.6</v>
      </c>
      <c r="AC296">
        <v>158</v>
      </c>
      <c r="AD296">
        <v>157.6</v>
      </c>
      <c r="AE296">
        <f t="shared" si="44"/>
        <v>155.6</v>
      </c>
      <c r="AF296" t="str">
        <f t="shared" si="45"/>
        <v>-</v>
      </c>
      <c r="AG296">
        <f t="shared" si="46"/>
        <v>164.1</v>
      </c>
      <c r="AH296">
        <f t="shared" si="47"/>
        <v>156</v>
      </c>
      <c r="AI296">
        <f t="shared" si="48"/>
        <v>165.3</v>
      </c>
      <c r="AJ296">
        <f t="shared" si="49"/>
        <v>151.69999999999999</v>
      </c>
      <c r="AK296">
        <f t="shared" si="50"/>
        <v>157.25</v>
      </c>
      <c r="AL296">
        <f t="shared" si="51"/>
        <v>158.6</v>
      </c>
      <c r="AM296">
        <f t="shared" si="52"/>
        <v>186.8</v>
      </c>
      <c r="AN296">
        <f t="shared" si="53"/>
        <v>156.75</v>
      </c>
      <c r="AO296">
        <f t="shared" si="54"/>
        <v>161.34444444444443</v>
      </c>
    </row>
    <row r="297" spans="1:41" hidden="1" x14ac:dyDescent="0.45">
      <c r="A297" t="s">
        <v>33</v>
      </c>
      <c r="B297">
        <v>2021</v>
      </c>
      <c r="C297" t="s">
        <v>37</v>
      </c>
      <c r="D297">
        <v>161.4</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154.9</v>
      </c>
      <c r="W297">
        <v>147.6</v>
      </c>
      <c r="X297">
        <v>157.5</v>
      </c>
      <c r="Y297">
        <v>142.1</v>
      </c>
      <c r="Z297">
        <v>149.1</v>
      </c>
      <c r="AA297">
        <v>157.6</v>
      </c>
      <c r="AB297">
        <v>156.6</v>
      </c>
      <c r="AC297">
        <v>150.5</v>
      </c>
      <c r="AD297">
        <v>158</v>
      </c>
      <c r="AE297">
        <f t="shared" si="44"/>
        <v>162</v>
      </c>
      <c r="AF297">
        <f t="shared" si="45"/>
        <v>161.4</v>
      </c>
      <c r="AG297">
        <f t="shared" si="46"/>
        <v>157.6</v>
      </c>
      <c r="AH297">
        <f t="shared" si="47"/>
        <v>154.9</v>
      </c>
      <c r="AI297">
        <f t="shared" si="48"/>
        <v>157.5</v>
      </c>
      <c r="AJ297">
        <f t="shared" si="49"/>
        <v>142.1</v>
      </c>
      <c r="AK297">
        <f t="shared" si="50"/>
        <v>155</v>
      </c>
      <c r="AL297">
        <f t="shared" si="51"/>
        <v>149.1</v>
      </c>
      <c r="AM297">
        <f t="shared" si="52"/>
        <v>194.4</v>
      </c>
      <c r="AN297">
        <f t="shared" si="53"/>
        <v>149.05000000000001</v>
      </c>
      <c r="AO297">
        <f t="shared" si="54"/>
        <v>158.30500000000001</v>
      </c>
    </row>
    <row r="298" spans="1:41" hidden="1" x14ac:dyDescent="0.45">
      <c r="A298" t="s">
        <v>34</v>
      </c>
      <c r="B298">
        <v>2021</v>
      </c>
      <c r="C298" t="s">
        <v>37</v>
      </c>
      <c r="D298">
        <v>161.4</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155.6</v>
      </c>
      <c r="W298">
        <v>151.80000000000001</v>
      </c>
      <c r="X298">
        <v>162.30000000000001</v>
      </c>
      <c r="Y298">
        <v>146.6</v>
      </c>
      <c r="Z298">
        <v>153.19999999999999</v>
      </c>
      <c r="AA298">
        <v>160.30000000000001</v>
      </c>
      <c r="AB298">
        <v>155.4</v>
      </c>
      <c r="AC298">
        <v>154.4</v>
      </c>
      <c r="AD298">
        <v>157.80000000000001</v>
      </c>
      <c r="AE298">
        <f t="shared" si="44"/>
        <v>158</v>
      </c>
      <c r="AF298">
        <f t="shared" si="45"/>
        <v>161.4</v>
      </c>
      <c r="AG298">
        <f t="shared" si="46"/>
        <v>160.30000000000001</v>
      </c>
      <c r="AH298">
        <f t="shared" si="47"/>
        <v>155.6</v>
      </c>
      <c r="AI298">
        <f t="shared" si="48"/>
        <v>162.30000000000001</v>
      </c>
      <c r="AJ298">
        <f t="shared" si="49"/>
        <v>146.6</v>
      </c>
      <c r="AK298">
        <f t="shared" si="50"/>
        <v>156.35000000000002</v>
      </c>
      <c r="AL298">
        <f t="shared" si="51"/>
        <v>153.19999999999999</v>
      </c>
      <c r="AM298">
        <f t="shared" si="52"/>
        <v>188.8</v>
      </c>
      <c r="AN298">
        <f t="shared" si="53"/>
        <v>153.10000000000002</v>
      </c>
      <c r="AO298">
        <f t="shared" si="54"/>
        <v>159.565</v>
      </c>
    </row>
    <row r="299" spans="1:41" hidden="1" x14ac:dyDescent="0.45">
      <c r="A299" t="s">
        <v>30</v>
      </c>
      <c r="B299">
        <v>2021</v>
      </c>
      <c r="C299" t="s">
        <v>38</v>
      </c>
      <c r="D299" t="s">
        <v>32</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v>161.69999999999999</v>
      </c>
      <c r="W299">
        <v>158.80000000000001</v>
      </c>
      <c r="X299">
        <v>169.1</v>
      </c>
      <c r="Y299">
        <v>153.19999999999999</v>
      </c>
      <c r="Z299">
        <v>160</v>
      </c>
      <c r="AA299">
        <v>167.6</v>
      </c>
      <c r="AB299">
        <v>159.30000000000001</v>
      </c>
      <c r="AC299">
        <v>161.1</v>
      </c>
      <c r="AD299">
        <v>161.1</v>
      </c>
      <c r="AE299">
        <f t="shared" si="44"/>
        <v>158.69999999999999</v>
      </c>
      <c r="AF299" t="str">
        <f t="shared" si="45"/>
        <v>NA</v>
      </c>
      <c r="AG299">
        <f t="shared" si="46"/>
        <v>167.6</v>
      </c>
      <c r="AH299">
        <f t="shared" si="47"/>
        <v>161.69999999999999</v>
      </c>
      <c r="AI299">
        <f t="shared" si="48"/>
        <v>169.1</v>
      </c>
      <c r="AJ299">
        <f t="shared" si="49"/>
        <v>153.19999999999999</v>
      </c>
      <c r="AK299">
        <f t="shared" si="50"/>
        <v>161.9</v>
      </c>
      <c r="AL299">
        <f t="shared" si="51"/>
        <v>160</v>
      </c>
      <c r="AM299">
        <f t="shared" si="52"/>
        <v>189.6</v>
      </c>
      <c r="AN299">
        <f t="shared" si="53"/>
        <v>159.94999999999999</v>
      </c>
      <c r="AO299">
        <f t="shared" si="54"/>
        <v>164.63888888888886</v>
      </c>
    </row>
    <row r="300" spans="1:41" hidden="1" x14ac:dyDescent="0.45">
      <c r="A300" t="s">
        <v>33</v>
      </c>
      <c r="B300">
        <v>2021</v>
      </c>
      <c r="C300" t="s">
        <v>38</v>
      </c>
      <c r="D300">
        <v>161.6</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155.5</v>
      </c>
      <c r="W300">
        <v>150.1</v>
      </c>
      <c r="X300">
        <v>160.4</v>
      </c>
      <c r="Y300">
        <v>145</v>
      </c>
      <c r="Z300">
        <v>152.6</v>
      </c>
      <c r="AA300">
        <v>156.6</v>
      </c>
      <c r="AB300">
        <v>157.5</v>
      </c>
      <c r="AC300">
        <v>152.30000000000001</v>
      </c>
      <c r="AD300">
        <v>159.5</v>
      </c>
      <c r="AE300">
        <f t="shared" si="44"/>
        <v>164.2</v>
      </c>
      <c r="AF300">
        <f t="shared" si="45"/>
        <v>161.6</v>
      </c>
      <c r="AG300">
        <f t="shared" si="46"/>
        <v>156.6</v>
      </c>
      <c r="AH300">
        <f t="shared" si="47"/>
        <v>155.5</v>
      </c>
      <c r="AI300">
        <f t="shared" si="48"/>
        <v>160.4</v>
      </c>
      <c r="AJ300">
        <f t="shared" si="49"/>
        <v>145</v>
      </c>
      <c r="AK300">
        <f t="shared" si="50"/>
        <v>155.80000000000001</v>
      </c>
      <c r="AL300">
        <f t="shared" si="51"/>
        <v>152.6</v>
      </c>
      <c r="AM300">
        <f t="shared" si="52"/>
        <v>198.2</v>
      </c>
      <c r="AN300">
        <f t="shared" si="53"/>
        <v>151.19999999999999</v>
      </c>
      <c r="AO300">
        <f t="shared" si="54"/>
        <v>160.10999999999999</v>
      </c>
    </row>
    <row r="301" spans="1:41" hidden="1" x14ac:dyDescent="0.45">
      <c r="A301" t="s">
        <v>34</v>
      </c>
      <c r="B301">
        <v>2021</v>
      </c>
      <c r="C301" t="s">
        <v>38</v>
      </c>
      <c r="D301">
        <v>161.6</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159.4</v>
      </c>
      <c r="W301">
        <v>154.69999999999999</v>
      </c>
      <c r="X301">
        <v>165.8</v>
      </c>
      <c r="Y301">
        <v>148.9</v>
      </c>
      <c r="Z301">
        <v>155.80000000000001</v>
      </c>
      <c r="AA301">
        <v>161.19999999999999</v>
      </c>
      <c r="AB301">
        <v>158.6</v>
      </c>
      <c r="AC301">
        <v>156.80000000000001</v>
      </c>
      <c r="AD301">
        <v>160.4</v>
      </c>
      <c r="AE301">
        <f t="shared" si="44"/>
        <v>160.69999999999999</v>
      </c>
      <c r="AF301">
        <f t="shared" si="45"/>
        <v>161.6</v>
      </c>
      <c r="AG301">
        <f t="shared" si="46"/>
        <v>161.19999999999999</v>
      </c>
      <c r="AH301">
        <f t="shared" si="47"/>
        <v>159.4</v>
      </c>
      <c r="AI301">
        <f t="shared" si="48"/>
        <v>165.8</v>
      </c>
      <c r="AJ301">
        <f t="shared" si="49"/>
        <v>148.9</v>
      </c>
      <c r="AK301">
        <f t="shared" si="50"/>
        <v>159.5</v>
      </c>
      <c r="AL301">
        <f t="shared" si="51"/>
        <v>155.80000000000001</v>
      </c>
      <c r="AM301">
        <f t="shared" si="52"/>
        <v>191.9</v>
      </c>
      <c r="AN301">
        <f t="shared" si="53"/>
        <v>155.75</v>
      </c>
      <c r="AO301">
        <f t="shared" si="54"/>
        <v>162.05500000000001</v>
      </c>
    </row>
    <row r="302" spans="1:41" hidden="1" x14ac:dyDescent="0.45">
      <c r="A302" t="s">
        <v>30</v>
      </c>
      <c r="B302">
        <v>2021</v>
      </c>
      <c r="C302" t="s">
        <v>39</v>
      </c>
      <c r="D302" t="s">
        <v>32</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v>162.1</v>
      </c>
      <c r="W302">
        <v>159.19999999999999</v>
      </c>
      <c r="X302">
        <v>169.7</v>
      </c>
      <c r="Y302">
        <v>154.19999999999999</v>
      </c>
      <c r="Z302">
        <v>160.4</v>
      </c>
      <c r="AA302">
        <v>166.8</v>
      </c>
      <c r="AB302">
        <v>159.4</v>
      </c>
      <c r="AC302">
        <v>161.5</v>
      </c>
      <c r="AD302">
        <v>162.1</v>
      </c>
      <c r="AE302">
        <f t="shared" si="44"/>
        <v>160.5</v>
      </c>
      <c r="AF302" t="str">
        <f t="shared" si="45"/>
        <v>NA</v>
      </c>
      <c r="AG302">
        <f t="shared" si="46"/>
        <v>166.8</v>
      </c>
      <c r="AH302">
        <f t="shared" si="47"/>
        <v>162.1</v>
      </c>
      <c r="AI302">
        <f t="shared" si="48"/>
        <v>169.7</v>
      </c>
      <c r="AJ302">
        <f t="shared" si="49"/>
        <v>154.19999999999999</v>
      </c>
      <c r="AK302">
        <f t="shared" si="50"/>
        <v>162</v>
      </c>
      <c r="AL302">
        <f t="shared" si="51"/>
        <v>160.4</v>
      </c>
      <c r="AM302">
        <f t="shared" si="52"/>
        <v>189.1</v>
      </c>
      <c r="AN302">
        <f t="shared" si="53"/>
        <v>160.35</v>
      </c>
      <c r="AO302">
        <f t="shared" si="54"/>
        <v>165.01666666666665</v>
      </c>
    </row>
    <row r="303" spans="1:41" hidden="1" x14ac:dyDescent="0.45">
      <c r="A303" t="s">
        <v>33</v>
      </c>
      <c r="B303">
        <v>2021</v>
      </c>
      <c r="C303" t="s">
        <v>39</v>
      </c>
      <c r="D303">
        <v>160.5</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156.1</v>
      </c>
      <c r="W303">
        <v>149.80000000000001</v>
      </c>
      <c r="X303">
        <v>160.80000000000001</v>
      </c>
      <c r="Y303">
        <v>147.5</v>
      </c>
      <c r="Z303">
        <v>150.69999999999999</v>
      </c>
      <c r="AA303">
        <v>158.1</v>
      </c>
      <c r="AB303">
        <v>158</v>
      </c>
      <c r="AC303">
        <v>153.4</v>
      </c>
      <c r="AD303">
        <v>160.4</v>
      </c>
      <c r="AE303">
        <f t="shared" si="44"/>
        <v>166.2</v>
      </c>
      <c r="AF303">
        <f t="shared" si="45"/>
        <v>160.5</v>
      </c>
      <c r="AG303">
        <f t="shared" si="46"/>
        <v>158.1</v>
      </c>
      <c r="AH303">
        <f t="shared" si="47"/>
        <v>156.1</v>
      </c>
      <c r="AI303">
        <f t="shared" si="48"/>
        <v>160.80000000000001</v>
      </c>
      <c r="AJ303">
        <f t="shared" si="49"/>
        <v>147.5</v>
      </c>
      <c r="AK303">
        <f t="shared" si="50"/>
        <v>156.4</v>
      </c>
      <c r="AL303">
        <f t="shared" si="51"/>
        <v>150.69999999999999</v>
      </c>
      <c r="AM303">
        <f t="shared" si="52"/>
        <v>195.6</v>
      </c>
      <c r="AN303">
        <f t="shared" si="53"/>
        <v>151.60000000000002</v>
      </c>
      <c r="AO303">
        <f t="shared" si="54"/>
        <v>160.35</v>
      </c>
    </row>
    <row r="304" spans="1:41" hidden="1" x14ac:dyDescent="0.45">
      <c r="A304" t="s">
        <v>34</v>
      </c>
      <c r="B304">
        <v>2021</v>
      </c>
      <c r="C304" t="s">
        <v>39</v>
      </c>
      <c r="D304">
        <v>160.5</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159.80000000000001</v>
      </c>
      <c r="W304">
        <v>154.80000000000001</v>
      </c>
      <c r="X304">
        <v>166.3</v>
      </c>
      <c r="Y304">
        <v>150.69999999999999</v>
      </c>
      <c r="Z304">
        <v>154.9</v>
      </c>
      <c r="AA304">
        <v>161.69999999999999</v>
      </c>
      <c r="AB304">
        <v>158.80000000000001</v>
      </c>
      <c r="AC304">
        <v>157.6</v>
      </c>
      <c r="AD304">
        <v>161.30000000000001</v>
      </c>
      <c r="AE304">
        <f t="shared" si="44"/>
        <v>162.6</v>
      </c>
      <c r="AF304">
        <f t="shared" si="45"/>
        <v>160.5</v>
      </c>
      <c r="AG304">
        <f t="shared" si="46"/>
        <v>161.69999999999999</v>
      </c>
      <c r="AH304">
        <f t="shared" si="47"/>
        <v>159.80000000000001</v>
      </c>
      <c r="AI304">
        <f t="shared" si="48"/>
        <v>166.3</v>
      </c>
      <c r="AJ304">
        <f t="shared" si="49"/>
        <v>150.69999999999999</v>
      </c>
      <c r="AK304">
        <f t="shared" si="50"/>
        <v>159.75</v>
      </c>
      <c r="AL304">
        <f t="shared" si="51"/>
        <v>154.9</v>
      </c>
      <c r="AM304">
        <f t="shared" si="52"/>
        <v>190.8</v>
      </c>
      <c r="AN304">
        <f t="shared" si="53"/>
        <v>156.19999999999999</v>
      </c>
      <c r="AO304">
        <f t="shared" si="54"/>
        <v>162.32500000000002</v>
      </c>
    </row>
    <row r="305" spans="1:41" hidden="1" x14ac:dyDescent="0.45">
      <c r="A305" t="s">
        <v>30</v>
      </c>
      <c r="B305">
        <v>2021</v>
      </c>
      <c r="C305" t="s">
        <v>40</v>
      </c>
      <c r="D305" t="s">
        <v>32</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v>162.5</v>
      </c>
      <c r="W305">
        <v>160.30000000000001</v>
      </c>
      <c r="X305">
        <v>170.4</v>
      </c>
      <c r="Y305">
        <v>157.1</v>
      </c>
      <c r="Z305">
        <v>160.69999999999999</v>
      </c>
      <c r="AA305">
        <v>167.2</v>
      </c>
      <c r="AB305">
        <v>160.4</v>
      </c>
      <c r="AC305">
        <v>162.80000000000001</v>
      </c>
      <c r="AD305">
        <v>163.19999999999999</v>
      </c>
      <c r="AE305">
        <f t="shared" si="44"/>
        <v>161.69999999999999</v>
      </c>
      <c r="AF305" t="str">
        <f t="shared" si="45"/>
        <v>NA</v>
      </c>
      <c r="AG305">
        <f t="shared" si="46"/>
        <v>167.2</v>
      </c>
      <c r="AH305">
        <f t="shared" si="47"/>
        <v>162.5</v>
      </c>
      <c r="AI305">
        <f t="shared" si="48"/>
        <v>170.4</v>
      </c>
      <c r="AJ305">
        <f t="shared" si="49"/>
        <v>157.1</v>
      </c>
      <c r="AK305">
        <f t="shared" si="50"/>
        <v>162.85000000000002</v>
      </c>
      <c r="AL305">
        <f t="shared" si="51"/>
        <v>160.69999999999999</v>
      </c>
      <c r="AM305">
        <f t="shared" si="52"/>
        <v>189.7</v>
      </c>
      <c r="AN305">
        <f t="shared" si="53"/>
        <v>161.55000000000001</v>
      </c>
      <c r="AO305">
        <f t="shared" si="54"/>
        <v>165.96666666666667</v>
      </c>
    </row>
    <row r="306" spans="1:41" hidden="1" x14ac:dyDescent="0.45">
      <c r="A306" t="s">
        <v>33</v>
      </c>
      <c r="B306">
        <v>2021</v>
      </c>
      <c r="C306" t="s">
        <v>40</v>
      </c>
      <c r="D306">
        <v>161.5</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157.69999999999999</v>
      </c>
      <c r="W306">
        <v>150.69999999999999</v>
      </c>
      <c r="X306">
        <v>161.5</v>
      </c>
      <c r="Y306">
        <v>149.5</v>
      </c>
      <c r="Z306">
        <v>151.19999999999999</v>
      </c>
      <c r="AA306">
        <v>160.30000000000001</v>
      </c>
      <c r="AB306">
        <v>159.6</v>
      </c>
      <c r="AC306">
        <v>155</v>
      </c>
      <c r="AD306">
        <v>161.80000000000001</v>
      </c>
      <c r="AE306">
        <f t="shared" si="44"/>
        <v>167.9</v>
      </c>
      <c r="AF306">
        <f t="shared" si="45"/>
        <v>161.5</v>
      </c>
      <c r="AG306">
        <f t="shared" si="46"/>
        <v>160.30000000000001</v>
      </c>
      <c r="AH306">
        <f t="shared" si="47"/>
        <v>157.69999999999999</v>
      </c>
      <c r="AI306">
        <f t="shared" si="48"/>
        <v>161.5</v>
      </c>
      <c r="AJ306">
        <f t="shared" si="49"/>
        <v>149.5</v>
      </c>
      <c r="AK306">
        <f t="shared" si="50"/>
        <v>157.55000000000001</v>
      </c>
      <c r="AL306">
        <f t="shared" si="51"/>
        <v>151.19999999999999</v>
      </c>
      <c r="AM306">
        <f t="shared" si="52"/>
        <v>195.5</v>
      </c>
      <c r="AN306">
        <f t="shared" si="53"/>
        <v>152.85</v>
      </c>
      <c r="AO306">
        <f t="shared" si="54"/>
        <v>161.55000000000001</v>
      </c>
    </row>
    <row r="307" spans="1:41" hidden="1" x14ac:dyDescent="0.45">
      <c r="A307" t="s">
        <v>34</v>
      </c>
      <c r="B307">
        <v>2021</v>
      </c>
      <c r="C307" t="s">
        <v>40</v>
      </c>
      <c r="D307">
        <v>161.5</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160.69999999999999</v>
      </c>
      <c r="W307">
        <v>155.80000000000001</v>
      </c>
      <c r="X307">
        <v>167</v>
      </c>
      <c r="Y307">
        <v>153.1</v>
      </c>
      <c r="Z307">
        <v>155.30000000000001</v>
      </c>
      <c r="AA307">
        <v>163.19999999999999</v>
      </c>
      <c r="AB307">
        <v>160.1</v>
      </c>
      <c r="AC307">
        <v>159</v>
      </c>
      <c r="AD307">
        <v>162.5</v>
      </c>
      <c r="AE307">
        <f t="shared" si="44"/>
        <v>164</v>
      </c>
      <c r="AF307">
        <f t="shared" si="45"/>
        <v>161.5</v>
      </c>
      <c r="AG307">
        <f t="shared" si="46"/>
        <v>163.19999999999999</v>
      </c>
      <c r="AH307">
        <f t="shared" si="47"/>
        <v>160.69999999999999</v>
      </c>
      <c r="AI307">
        <f t="shared" si="48"/>
        <v>167</v>
      </c>
      <c r="AJ307">
        <f t="shared" si="49"/>
        <v>153.1</v>
      </c>
      <c r="AK307">
        <f t="shared" si="50"/>
        <v>160.75</v>
      </c>
      <c r="AL307">
        <f t="shared" si="51"/>
        <v>155.30000000000001</v>
      </c>
      <c r="AM307">
        <f t="shared" si="52"/>
        <v>191.2</v>
      </c>
      <c r="AN307">
        <f t="shared" si="53"/>
        <v>157.4</v>
      </c>
      <c r="AO307">
        <f t="shared" si="54"/>
        <v>163.41500000000002</v>
      </c>
    </row>
    <row r="308" spans="1:41" hidden="1" x14ac:dyDescent="0.45">
      <c r="A308" t="s">
        <v>30</v>
      </c>
      <c r="B308">
        <v>2021</v>
      </c>
      <c r="C308" t="s">
        <v>41</v>
      </c>
      <c r="D308" t="s">
        <v>32</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v>163.1</v>
      </c>
      <c r="W308">
        <v>160.9</v>
      </c>
      <c r="X308">
        <v>171.1</v>
      </c>
      <c r="Y308">
        <v>157.69999999999999</v>
      </c>
      <c r="Z308">
        <v>161.1</v>
      </c>
      <c r="AA308">
        <v>167.5</v>
      </c>
      <c r="AB308">
        <v>160.30000000000001</v>
      </c>
      <c r="AC308">
        <v>163.30000000000001</v>
      </c>
      <c r="AD308">
        <v>163.6</v>
      </c>
      <c r="AE308">
        <f t="shared" si="44"/>
        <v>161.80000000000001</v>
      </c>
      <c r="AF308" t="str">
        <f t="shared" si="45"/>
        <v>NA</v>
      </c>
      <c r="AG308">
        <f t="shared" si="46"/>
        <v>167.5</v>
      </c>
      <c r="AH308">
        <f t="shared" si="47"/>
        <v>163.1</v>
      </c>
      <c r="AI308">
        <f t="shared" si="48"/>
        <v>171.1</v>
      </c>
      <c r="AJ308">
        <f t="shared" si="49"/>
        <v>157.69999999999999</v>
      </c>
      <c r="AK308">
        <f t="shared" si="50"/>
        <v>163.30000000000001</v>
      </c>
      <c r="AL308">
        <f t="shared" si="51"/>
        <v>161.1</v>
      </c>
      <c r="AM308">
        <f t="shared" si="52"/>
        <v>190.2</v>
      </c>
      <c r="AN308">
        <f t="shared" si="53"/>
        <v>162.10000000000002</v>
      </c>
      <c r="AO308">
        <f t="shared" si="54"/>
        <v>166.43333333333334</v>
      </c>
    </row>
    <row r="309" spans="1:41" hidden="1" x14ac:dyDescent="0.45">
      <c r="A309" t="s">
        <v>33</v>
      </c>
      <c r="B309">
        <v>2021</v>
      </c>
      <c r="C309" t="s">
        <v>41</v>
      </c>
      <c r="D309">
        <v>162.1</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160.69999999999999</v>
      </c>
      <c r="W309">
        <v>153.19999999999999</v>
      </c>
      <c r="X309">
        <v>162.80000000000001</v>
      </c>
      <c r="Y309">
        <v>150.4</v>
      </c>
      <c r="Z309">
        <v>153.69999999999999</v>
      </c>
      <c r="AA309">
        <v>160.4</v>
      </c>
      <c r="AB309">
        <v>159.6</v>
      </c>
      <c r="AC309">
        <v>156</v>
      </c>
      <c r="AD309">
        <v>162.30000000000001</v>
      </c>
      <c r="AE309">
        <f t="shared" si="44"/>
        <v>167.3</v>
      </c>
      <c r="AF309">
        <f t="shared" si="45"/>
        <v>162.1</v>
      </c>
      <c r="AG309">
        <f t="shared" si="46"/>
        <v>160.4</v>
      </c>
      <c r="AH309">
        <f t="shared" si="47"/>
        <v>160.69999999999999</v>
      </c>
      <c r="AI309">
        <f t="shared" si="48"/>
        <v>162.80000000000001</v>
      </c>
      <c r="AJ309">
        <f t="shared" si="49"/>
        <v>150.4</v>
      </c>
      <c r="AK309">
        <f t="shared" si="50"/>
        <v>158.44999999999999</v>
      </c>
      <c r="AL309">
        <f t="shared" si="51"/>
        <v>153.69999999999999</v>
      </c>
      <c r="AM309">
        <f t="shared" si="52"/>
        <v>196.5</v>
      </c>
      <c r="AN309">
        <f t="shared" si="53"/>
        <v>154.6</v>
      </c>
      <c r="AO309">
        <f t="shared" si="54"/>
        <v>162.69499999999999</v>
      </c>
    </row>
    <row r="310" spans="1:41" hidden="1" x14ac:dyDescent="0.45">
      <c r="A310" t="s">
        <v>34</v>
      </c>
      <c r="B310">
        <v>2021</v>
      </c>
      <c r="C310" t="s">
        <v>41</v>
      </c>
      <c r="D310">
        <v>162.1</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162.6</v>
      </c>
      <c r="W310">
        <v>157.5</v>
      </c>
      <c r="X310">
        <v>168.4</v>
      </c>
      <c r="Y310">
        <v>154</v>
      </c>
      <c r="Z310">
        <v>157.6</v>
      </c>
      <c r="AA310">
        <v>163.80000000000001</v>
      </c>
      <c r="AB310">
        <v>160</v>
      </c>
      <c r="AC310">
        <v>160</v>
      </c>
      <c r="AD310">
        <v>163.19999999999999</v>
      </c>
      <c r="AE310">
        <f t="shared" si="44"/>
        <v>164</v>
      </c>
      <c r="AF310">
        <f t="shared" si="45"/>
        <v>162.1</v>
      </c>
      <c r="AG310">
        <f t="shared" si="46"/>
        <v>163.80000000000001</v>
      </c>
      <c r="AH310">
        <f t="shared" si="47"/>
        <v>162.6</v>
      </c>
      <c r="AI310">
        <f t="shared" si="48"/>
        <v>168.4</v>
      </c>
      <c r="AJ310">
        <f t="shared" si="49"/>
        <v>154</v>
      </c>
      <c r="AK310">
        <f t="shared" si="50"/>
        <v>161.6</v>
      </c>
      <c r="AL310">
        <f t="shared" si="51"/>
        <v>157.6</v>
      </c>
      <c r="AM310">
        <f t="shared" si="52"/>
        <v>192.1</v>
      </c>
      <c r="AN310">
        <f t="shared" si="53"/>
        <v>158.75</v>
      </c>
      <c r="AO310">
        <f t="shared" si="54"/>
        <v>164.49499999999998</v>
      </c>
    </row>
    <row r="311" spans="1:41" hidden="1" x14ac:dyDescent="0.45">
      <c r="A311" t="s">
        <v>30</v>
      </c>
      <c r="B311">
        <v>2021</v>
      </c>
      <c r="C311" t="s">
        <v>42</v>
      </c>
      <c r="D311" t="s">
        <v>32</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v>163.69999999999999</v>
      </c>
      <c r="W311">
        <v>161.30000000000001</v>
      </c>
      <c r="X311">
        <v>171.9</v>
      </c>
      <c r="Y311">
        <v>157.80000000000001</v>
      </c>
      <c r="Z311">
        <v>162.69999999999999</v>
      </c>
      <c r="AA311">
        <v>168.5</v>
      </c>
      <c r="AB311">
        <v>160.19999999999999</v>
      </c>
      <c r="AC311">
        <v>163.80000000000001</v>
      </c>
      <c r="AD311">
        <v>164</v>
      </c>
      <c r="AE311">
        <f t="shared" si="44"/>
        <v>162.1</v>
      </c>
      <c r="AF311" t="str">
        <f t="shared" si="45"/>
        <v>NA</v>
      </c>
      <c r="AG311">
        <f t="shared" si="46"/>
        <v>168.5</v>
      </c>
      <c r="AH311">
        <f t="shared" si="47"/>
        <v>163.69999999999999</v>
      </c>
      <c r="AI311">
        <f t="shared" si="48"/>
        <v>171.9</v>
      </c>
      <c r="AJ311">
        <f t="shared" si="49"/>
        <v>157.80000000000001</v>
      </c>
      <c r="AK311">
        <f t="shared" si="50"/>
        <v>163.64999999999998</v>
      </c>
      <c r="AL311">
        <f t="shared" si="51"/>
        <v>162.69999999999999</v>
      </c>
      <c r="AM311">
        <f t="shared" si="52"/>
        <v>190.5</v>
      </c>
      <c r="AN311">
        <f t="shared" si="53"/>
        <v>162.55000000000001</v>
      </c>
      <c r="AO311">
        <f t="shared" si="54"/>
        <v>167.04444444444442</v>
      </c>
    </row>
    <row r="312" spans="1:41" hidden="1" x14ac:dyDescent="0.45">
      <c r="A312" t="s">
        <v>33</v>
      </c>
      <c r="B312">
        <v>2021</v>
      </c>
      <c r="C312" t="s">
        <v>42</v>
      </c>
      <c r="D312">
        <v>162.1</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160.80000000000001</v>
      </c>
      <c r="W312">
        <v>153.30000000000001</v>
      </c>
      <c r="X312">
        <v>162.80000000000001</v>
      </c>
      <c r="Y312">
        <v>150.5</v>
      </c>
      <c r="Z312">
        <v>153.9</v>
      </c>
      <c r="AA312">
        <v>160.30000000000001</v>
      </c>
      <c r="AB312">
        <v>159.6</v>
      </c>
      <c r="AC312">
        <v>156</v>
      </c>
      <c r="AD312">
        <v>162.30000000000001</v>
      </c>
      <c r="AE312">
        <f t="shared" si="44"/>
        <v>167.3</v>
      </c>
      <c r="AF312">
        <f t="shared" si="45"/>
        <v>162.1</v>
      </c>
      <c r="AG312">
        <f t="shared" si="46"/>
        <v>160.30000000000001</v>
      </c>
      <c r="AH312">
        <f t="shared" si="47"/>
        <v>160.80000000000001</v>
      </c>
      <c r="AI312">
        <f t="shared" si="48"/>
        <v>162.80000000000001</v>
      </c>
      <c r="AJ312">
        <f t="shared" si="49"/>
        <v>150.5</v>
      </c>
      <c r="AK312">
        <f t="shared" si="50"/>
        <v>158.5</v>
      </c>
      <c r="AL312">
        <f t="shared" si="51"/>
        <v>153.9</v>
      </c>
      <c r="AM312">
        <f t="shared" si="52"/>
        <v>196.5</v>
      </c>
      <c r="AN312">
        <f t="shared" si="53"/>
        <v>154.65</v>
      </c>
      <c r="AO312">
        <f t="shared" si="54"/>
        <v>162.73500000000001</v>
      </c>
    </row>
    <row r="313" spans="1:41" hidden="1" x14ac:dyDescent="0.45">
      <c r="A313" t="s">
        <v>34</v>
      </c>
      <c r="B313">
        <v>2021</v>
      </c>
      <c r="C313" t="s">
        <v>42</v>
      </c>
      <c r="D313">
        <v>162.1</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162.6</v>
      </c>
      <c r="W313">
        <v>157.5</v>
      </c>
      <c r="X313">
        <v>168.4</v>
      </c>
      <c r="Y313">
        <v>154</v>
      </c>
      <c r="Z313">
        <v>157.69999999999999</v>
      </c>
      <c r="AA313">
        <v>163.69999999999999</v>
      </c>
      <c r="AB313">
        <v>160</v>
      </c>
      <c r="AC313">
        <v>160</v>
      </c>
      <c r="AD313">
        <v>163.19999999999999</v>
      </c>
      <c r="AE313">
        <f t="shared" si="44"/>
        <v>164</v>
      </c>
      <c r="AF313">
        <f t="shared" si="45"/>
        <v>162.1</v>
      </c>
      <c r="AG313">
        <f t="shared" si="46"/>
        <v>163.69999999999999</v>
      </c>
      <c r="AH313">
        <f t="shared" si="47"/>
        <v>162.6</v>
      </c>
      <c r="AI313">
        <f t="shared" si="48"/>
        <v>168.4</v>
      </c>
      <c r="AJ313">
        <f t="shared" si="49"/>
        <v>154</v>
      </c>
      <c r="AK313">
        <f t="shared" si="50"/>
        <v>161.65</v>
      </c>
      <c r="AL313">
        <f t="shared" si="51"/>
        <v>157.69999999999999</v>
      </c>
      <c r="AM313">
        <f t="shared" si="52"/>
        <v>192.1</v>
      </c>
      <c r="AN313">
        <f t="shared" si="53"/>
        <v>158.75</v>
      </c>
      <c r="AO313">
        <f t="shared" si="54"/>
        <v>164.5</v>
      </c>
    </row>
    <row r="314" spans="1:41" hidden="1" x14ac:dyDescent="0.45">
      <c r="A314" t="s">
        <v>30</v>
      </c>
      <c r="B314">
        <v>2021</v>
      </c>
      <c r="C314" t="s">
        <v>43</v>
      </c>
      <c r="D314" t="s">
        <v>32</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v>165.5</v>
      </c>
      <c r="W314">
        <v>162</v>
      </c>
      <c r="X314">
        <v>172.5</v>
      </c>
      <c r="Y314">
        <v>159.5</v>
      </c>
      <c r="Z314">
        <v>163.19999999999999</v>
      </c>
      <c r="AA314">
        <v>169</v>
      </c>
      <c r="AB314">
        <v>161.1</v>
      </c>
      <c r="AC314">
        <v>164.7</v>
      </c>
      <c r="AD314">
        <v>166.3</v>
      </c>
      <c r="AE314">
        <f t="shared" si="44"/>
        <v>165.5</v>
      </c>
      <c r="AF314" t="str">
        <f t="shared" si="45"/>
        <v>NA</v>
      </c>
      <c r="AG314">
        <f t="shared" si="46"/>
        <v>169</v>
      </c>
      <c r="AH314">
        <f t="shared" si="47"/>
        <v>165.5</v>
      </c>
      <c r="AI314">
        <f t="shared" si="48"/>
        <v>172.5</v>
      </c>
      <c r="AJ314">
        <f t="shared" si="49"/>
        <v>159.5</v>
      </c>
      <c r="AK314">
        <f t="shared" si="50"/>
        <v>164.7</v>
      </c>
      <c r="AL314">
        <f t="shared" si="51"/>
        <v>163.19999999999999</v>
      </c>
      <c r="AM314">
        <f t="shared" si="52"/>
        <v>191.2</v>
      </c>
      <c r="AN314">
        <f t="shared" si="53"/>
        <v>163.35</v>
      </c>
      <c r="AO314">
        <f t="shared" si="54"/>
        <v>168.27222222222224</v>
      </c>
    </row>
    <row r="315" spans="1:41" hidden="1" x14ac:dyDescent="0.45">
      <c r="A315" t="s">
        <v>33</v>
      </c>
      <c r="B315">
        <v>2021</v>
      </c>
      <c r="C315" t="s">
        <v>43</v>
      </c>
      <c r="D315">
        <v>163.6</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162.19999999999999</v>
      </c>
      <c r="W315">
        <v>154.30000000000001</v>
      </c>
      <c r="X315">
        <v>163.5</v>
      </c>
      <c r="Y315">
        <v>152.19999999999999</v>
      </c>
      <c r="Z315">
        <v>155.1</v>
      </c>
      <c r="AA315">
        <v>160.30000000000001</v>
      </c>
      <c r="AB315">
        <v>160.30000000000001</v>
      </c>
      <c r="AC315">
        <v>157</v>
      </c>
      <c r="AD315">
        <v>164.6</v>
      </c>
      <c r="AE315">
        <f t="shared" si="44"/>
        <v>171.5</v>
      </c>
      <c r="AF315">
        <f t="shared" si="45"/>
        <v>163.6</v>
      </c>
      <c r="AG315">
        <f t="shared" si="46"/>
        <v>160.30000000000001</v>
      </c>
      <c r="AH315">
        <f t="shared" si="47"/>
        <v>162.19999999999999</v>
      </c>
      <c r="AI315">
        <f t="shared" si="48"/>
        <v>163.5</v>
      </c>
      <c r="AJ315">
        <f t="shared" si="49"/>
        <v>152.19999999999999</v>
      </c>
      <c r="AK315">
        <f t="shared" si="50"/>
        <v>159.30000000000001</v>
      </c>
      <c r="AL315">
        <f t="shared" si="51"/>
        <v>155.1</v>
      </c>
      <c r="AM315">
        <f t="shared" si="52"/>
        <v>197</v>
      </c>
      <c r="AN315">
        <f t="shared" si="53"/>
        <v>155.65</v>
      </c>
      <c r="AO315">
        <f t="shared" si="54"/>
        <v>164.035</v>
      </c>
    </row>
    <row r="316" spans="1:41" hidden="1" x14ac:dyDescent="0.45">
      <c r="A316" t="s">
        <v>34</v>
      </c>
      <c r="B316">
        <v>2021</v>
      </c>
      <c r="C316" t="s">
        <v>43</v>
      </c>
      <c r="D316">
        <v>163.6</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164.2</v>
      </c>
      <c r="W316">
        <v>158.4</v>
      </c>
      <c r="X316">
        <v>169.1</v>
      </c>
      <c r="Y316">
        <v>155.69999999999999</v>
      </c>
      <c r="Z316">
        <v>158.6</v>
      </c>
      <c r="AA316">
        <v>163.9</v>
      </c>
      <c r="AB316">
        <v>160.80000000000001</v>
      </c>
      <c r="AC316">
        <v>161</v>
      </c>
      <c r="AD316">
        <v>165.5</v>
      </c>
      <c r="AE316">
        <f t="shared" si="44"/>
        <v>167.7</v>
      </c>
      <c r="AF316">
        <f t="shared" si="45"/>
        <v>163.6</v>
      </c>
      <c r="AG316">
        <f t="shared" si="46"/>
        <v>163.9</v>
      </c>
      <c r="AH316">
        <f t="shared" si="47"/>
        <v>164.2</v>
      </c>
      <c r="AI316">
        <f t="shared" si="48"/>
        <v>169.1</v>
      </c>
      <c r="AJ316">
        <f t="shared" si="49"/>
        <v>155.69999999999999</v>
      </c>
      <c r="AK316">
        <f t="shared" si="50"/>
        <v>162.55000000000001</v>
      </c>
      <c r="AL316">
        <f t="shared" si="51"/>
        <v>158.6</v>
      </c>
      <c r="AM316">
        <f t="shared" si="52"/>
        <v>192.7</v>
      </c>
      <c r="AN316">
        <f t="shared" si="53"/>
        <v>159.69999999999999</v>
      </c>
      <c r="AO316">
        <f t="shared" si="54"/>
        <v>165.77499999999998</v>
      </c>
    </row>
    <row r="317" spans="1:41" hidden="1" x14ac:dyDescent="0.45">
      <c r="A317" t="s">
        <v>30</v>
      </c>
      <c r="B317">
        <v>2021</v>
      </c>
      <c r="C317" t="s">
        <v>45</v>
      </c>
      <c r="D317" t="s">
        <v>32</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v>165.3</v>
      </c>
      <c r="W317">
        <v>162.9</v>
      </c>
      <c r="X317">
        <v>173.4</v>
      </c>
      <c r="Y317">
        <v>158.9</v>
      </c>
      <c r="Z317">
        <v>163.80000000000001</v>
      </c>
      <c r="AA317">
        <v>169.3</v>
      </c>
      <c r="AB317">
        <v>162.4</v>
      </c>
      <c r="AC317">
        <v>165.2</v>
      </c>
      <c r="AD317">
        <v>167.6</v>
      </c>
      <c r="AE317">
        <f t="shared" si="44"/>
        <v>167.5</v>
      </c>
      <c r="AF317" t="str">
        <f t="shared" si="45"/>
        <v>NA</v>
      </c>
      <c r="AG317">
        <f t="shared" si="46"/>
        <v>169.3</v>
      </c>
      <c r="AH317">
        <f t="shared" si="47"/>
        <v>165.3</v>
      </c>
      <c r="AI317">
        <f t="shared" si="48"/>
        <v>173.4</v>
      </c>
      <c r="AJ317">
        <f t="shared" si="49"/>
        <v>158.9</v>
      </c>
      <c r="AK317">
        <f t="shared" si="50"/>
        <v>166.10000000000002</v>
      </c>
      <c r="AL317">
        <f t="shared" si="51"/>
        <v>163.80000000000001</v>
      </c>
      <c r="AM317">
        <f t="shared" si="52"/>
        <v>191.4</v>
      </c>
      <c r="AN317">
        <f t="shared" si="53"/>
        <v>164.05</v>
      </c>
      <c r="AO317">
        <f t="shared" si="54"/>
        <v>168.86111111111111</v>
      </c>
    </row>
    <row r="318" spans="1:41" hidden="1" x14ac:dyDescent="0.45">
      <c r="A318" t="s">
        <v>33</v>
      </c>
      <c r="B318">
        <v>2021</v>
      </c>
      <c r="C318" t="s">
        <v>45</v>
      </c>
      <c r="D318">
        <v>164.2</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161.6</v>
      </c>
      <c r="W318">
        <v>155.19999999999999</v>
      </c>
      <c r="X318">
        <v>164.2</v>
      </c>
      <c r="Y318">
        <v>151.19999999999999</v>
      </c>
      <c r="Z318">
        <v>156.69999999999999</v>
      </c>
      <c r="AA318">
        <v>160.80000000000001</v>
      </c>
      <c r="AB318">
        <v>161.80000000000001</v>
      </c>
      <c r="AC318">
        <v>157.30000000000001</v>
      </c>
      <c r="AD318">
        <v>165.6</v>
      </c>
      <c r="AE318">
        <f t="shared" si="44"/>
        <v>173.5</v>
      </c>
      <c r="AF318">
        <f t="shared" si="45"/>
        <v>164.2</v>
      </c>
      <c r="AG318">
        <f t="shared" si="46"/>
        <v>160.80000000000001</v>
      </c>
      <c r="AH318">
        <f t="shared" si="47"/>
        <v>161.6</v>
      </c>
      <c r="AI318">
        <f t="shared" si="48"/>
        <v>164.2</v>
      </c>
      <c r="AJ318">
        <f t="shared" si="49"/>
        <v>151.19999999999999</v>
      </c>
      <c r="AK318">
        <f t="shared" si="50"/>
        <v>160.75</v>
      </c>
      <c r="AL318">
        <f t="shared" si="51"/>
        <v>156.69999999999999</v>
      </c>
      <c r="AM318">
        <f t="shared" si="52"/>
        <v>197</v>
      </c>
      <c r="AN318">
        <f t="shared" si="53"/>
        <v>156.25</v>
      </c>
      <c r="AO318">
        <f t="shared" si="54"/>
        <v>164.62</v>
      </c>
    </row>
    <row r="319" spans="1:41" hidden="1" x14ac:dyDescent="0.45">
      <c r="A319" t="s">
        <v>34</v>
      </c>
      <c r="B319">
        <v>2021</v>
      </c>
      <c r="C319" t="s">
        <v>45</v>
      </c>
      <c r="D319">
        <v>164.2</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163.9</v>
      </c>
      <c r="W319">
        <v>159.30000000000001</v>
      </c>
      <c r="X319">
        <v>169.9</v>
      </c>
      <c r="Y319">
        <v>154.80000000000001</v>
      </c>
      <c r="Z319">
        <v>159.80000000000001</v>
      </c>
      <c r="AA319">
        <v>164.3</v>
      </c>
      <c r="AB319">
        <v>162.19999999999999</v>
      </c>
      <c r="AC319">
        <v>161.4</v>
      </c>
      <c r="AD319">
        <v>166.7</v>
      </c>
      <c r="AE319">
        <f t="shared" si="44"/>
        <v>169.7</v>
      </c>
      <c r="AF319">
        <f t="shared" si="45"/>
        <v>164.2</v>
      </c>
      <c r="AG319">
        <f t="shared" si="46"/>
        <v>164.3</v>
      </c>
      <c r="AH319">
        <f t="shared" si="47"/>
        <v>163.9</v>
      </c>
      <c r="AI319">
        <f t="shared" si="48"/>
        <v>169.9</v>
      </c>
      <c r="AJ319">
        <f t="shared" si="49"/>
        <v>154.80000000000001</v>
      </c>
      <c r="AK319">
        <f t="shared" si="50"/>
        <v>164</v>
      </c>
      <c r="AL319">
        <f t="shared" si="51"/>
        <v>159.80000000000001</v>
      </c>
      <c r="AM319">
        <f t="shared" si="52"/>
        <v>192.9</v>
      </c>
      <c r="AN319">
        <f t="shared" si="53"/>
        <v>160.35000000000002</v>
      </c>
      <c r="AO319">
        <f t="shared" si="54"/>
        <v>166.38499999999999</v>
      </c>
    </row>
    <row r="320" spans="1:41" hidden="1" x14ac:dyDescent="0.45">
      <c r="A320" t="s">
        <v>30</v>
      </c>
      <c r="B320">
        <v>2021</v>
      </c>
      <c r="C320" t="s">
        <v>46</v>
      </c>
      <c r="D320" t="s">
        <v>32</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v>165.6</v>
      </c>
      <c r="W320">
        <v>163.9</v>
      </c>
      <c r="X320">
        <v>174</v>
      </c>
      <c r="Y320">
        <v>160.1</v>
      </c>
      <c r="Z320">
        <v>164.5</v>
      </c>
      <c r="AA320">
        <v>169.7</v>
      </c>
      <c r="AB320">
        <v>162.80000000000001</v>
      </c>
      <c r="AC320">
        <v>166</v>
      </c>
      <c r="AD320">
        <v>167</v>
      </c>
      <c r="AE320">
        <f t="shared" si="44"/>
        <v>165.8</v>
      </c>
      <c r="AF320" t="str">
        <f t="shared" si="45"/>
        <v>NA</v>
      </c>
      <c r="AG320">
        <f t="shared" si="46"/>
        <v>169.7</v>
      </c>
      <c r="AH320">
        <f t="shared" si="47"/>
        <v>165.6</v>
      </c>
      <c r="AI320">
        <f t="shared" si="48"/>
        <v>174</v>
      </c>
      <c r="AJ320">
        <f t="shared" si="49"/>
        <v>160.1</v>
      </c>
      <c r="AK320">
        <f t="shared" si="50"/>
        <v>167</v>
      </c>
      <c r="AL320">
        <f t="shared" si="51"/>
        <v>164.5</v>
      </c>
      <c r="AM320">
        <f t="shared" si="52"/>
        <v>190.8</v>
      </c>
      <c r="AN320">
        <f t="shared" si="53"/>
        <v>164.95</v>
      </c>
      <c r="AO320">
        <f t="shared" si="54"/>
        <v>169.16111111111113</v>
      </c>
    </row>
    <row r="321" spans="1:41" hidden="1" x14ac:dyDescent="0.45">
      <c r="A321" t="s">
        <v>33</v>
      </c>
      <c r="B321">
        <v>2021</v>
      </c>
      <c r="C321" t="s">
        <v>46</v>
      </c>
      <c r="D321">
        <v>163.4</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161.69999999999999</v>
      </c>
      <c r="W321">
        <v>156</v>
      </c>
      <c r="X321">
        <v>165.1</v>
      </c>
      <c r="Y321">
        <v>151.80000000000001</v>
      </c>
      <c r="Z321">
        <v>157.6</v>
      </c>
      <c r="AA321">
        <v>160.6</v>
      </c>
      <c r="AB321">
        <v>162.4</v>
      </c>
      <c r="AC321">
        <v>157.80000000000001</v>
      </c>
      <c r="AD321">
        <v>165.2</v>
      </c>
      <c r="AE321">
        <f t="shared" si="44"/>
        <v>172.2</v>
      </c>
      <c r="AF321">
        <f t="shared" si="45"/>
        <v>163.4</v>
      </c>
      <c r="AG321">
        <f t="shared" si="46"/>
        <v>160.6</v>
      </c>
      <c r="AH321">
        <f t="shared" si="47"/>
        <v>161.69999999999999</v>
      </c>
      <c r="AI321">
        <f t="shared" si="48"/>
        <v>165.1</v>
      </c>
      <c r="AJ321">
        <f t="shared" si="49"/>
        <v>151.80000000000001</v>
      </c>
      <c r="AK321">
        <f t="shared" si="50"/>
        <v>161.55000000000001</v>
      </c>
      <c r="AL321">
        <f t="shared" si="51"/>
        <v>157.6</v>
      </c>
      <c r="AM321">
        <f t="shared" si="52"/>
        <v>196.8</v>
      </c>
      <c r="AN321">
        <f t="shared" si="53"/>
        <v>156.9</v>
      </c>
      <c r="AO321">
        <f t="shared" si="54"/>
        <v>164.76500000000001</v>
      </c>
    </row>
    <row r="322" spans="1:41" hidden="1" x14ac:dyDescent="0.45">
      <c r="A322" t="s">
        <v>34</v>
      </c>
      <c r="B322">
        <v>2021</v>
      </c>
      <c r="C322" t="s">
        <v>46</v>
      </c>
      <c r="D322">
        <v>163.4</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164.1</v>
      </c>
      <c r="W322">
        <v>160.19999999999999</v>
      </c>
      <c r="X322">
        <v>170.6</v>
      </c>
      <c r="Y322">
        <v>155.69999999999999</v>
      </c>
      <c r="Z322">
        <v>160.6</v>
      </c>
      <c r="AA322">
        <v>164.4</v>
      </c>
      <c r="AB322">
        <v>162.6</v>
      </c>
      <c r="AC322">
        <v>162</v>
      </c>
      <c r="AD322">
        <v>166.2</v>
      </c>
      <c r="AE322">
        <f t="shared" si="44"/>
        <v>168.2</v>
      </c>
      <c r="AF322">
        <f t="shared" si="45"/>
        <v>163.4</v>
      </c>
      <c r="AG322">
        <f t="shared" si="46"/>
        <v>164.4</v>
      </c>
      <c r="AH322">
        <f t="shared" si="47"/>
        <v>164.1</v>
      </c>
      <c r="AI322">
        <f t="shared" si="48"/>
        <v>170.6</v>
      </c>
      <c r="AJ322">
        <f t="shared" si="49"/>
        <v>155.69999999999999</v>
      </c>
      <c r="AK322">
        <f t="shared" si="50"/>
        <v>164.8</v>
      </c>
      <c r="AL322">
        <f t="shared" si="51"/>
        <v>160.6</v>
      </c>
      <c r="AM322">
        <f t="shared" si="52"/>
        <v>192.4</v>
      </c>
      <c r="AN322">
        <f t="shared" si="53"/>
        <v>161.1</v>
      </c>
      <c r="AO322">
        <f t="shared" si="54"/>
        <v>166.53</v>
      </c>
    </row>
    <row r="323" spans="1:41" hidden="1" x14ac:dyDescent="0.45">
      <c r="A323" t="s">
        <v>30</v>
      </c>
      <c r="B323">
        <v>2022</v>
      </c>
      <c r="C323" t="s">
        <v>31</v>
      </c>
      <c r="D323" t="s">
        <v>32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v>165.8</v>
      </c>
      <c r="W323">
        <v>164.9</v>
      </c>
      <c r="X323">
        <v>174.7</v>
      </c>
      <c r="Y323">
        <v>160.80000000000001</v>
      </c>
      <c r="Z323">
        <v>164.9</v>
      </c>
      <c r="AA323">
        <v>169.9</v>
      </c>
      <c r="AB323">
        <v>163.19999999999999</v>
      </c>
      <c r="AC323">
        <v>166.6</v>
      </c>
      <c r="AD323">
        <v>166.4</v>
      </c>
      <c r="AE323">
        <f t="shared" ref="AE323:AE373" si="80">Q323</f>
        <v>164.1</v>
      </c>
      <c r="AF323" t="str">
        <f t="shared" ref="AF323:AF373" si="81">D323</f>
        <v>NA</v>
      </c>
      <c r="AG323">
        <f t="shared" ref="AG323:AG373" si="82">AA323</f>
        <v>169.9</v>
      </c>
      <c r="AH323">
        <f t="shared" ref="AH323:AH373" si="83">V323</f>
        <v>165.8</v>
      </c>
      <c r="AI323">
        <f t="shared" ref="AI323:AI373" si="84">X323</f>
        <v>174.7</v>
      </c>
      <c r="AJ323">
        <f t="shared" ref="AJ323:AJ373" si="85">Y323</f>
        <v>160.80000000000001</v>
      </c>
      <c r="AK323">
        <f t="shared" ref="AK323:AK373" si="86">AVERAGE(U323,AB323)</f>
        <v>167.95</v>
      </c>
      <c r="AL323">
        <f t="shared" ref="AL323:AL373" si="87">Z323</f>
        <v>164.9</v>
      </c>
      <c r="AM323">
        <f t="shared" ref="AM323:AM373" si="88">R323</f>
        <v>190.7</v>
      </c>
      <c r="AN323">
        <f t="shared" ref="AN323:AN373" si="89">AVERAGE(W323,AC323)</f>
        <v>165.75</v>
      </c>
      <c r="AO323">
        <f t="shared" ref="AO323:AO373" si="90">AVERAGE(AE323:AN323)</f>
        <v>169.4</v>
      </c>
    </row>
    <row r="324" spans="1:41" hidden="1" x14ac:dyDescent="0.45">
      <c r="A324" t="s">
        <v>33</v>
      </c>
      <c r="B324">
        <v>2022</v>
      </c>
      <c r="C324" t="s">
        <v>31</v>
      </c>
      <c r="D324">
        <v>164.5</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161.6</v>
      </c>
      <c r="W324">
        <v>156.80000000000001</v>
      </c>
      <c r="X324">
        <v>166.1</v>
      </c>
      <c r="Y324">
        <v>152.69999999999999</v>
      </c>
      <c r="Z324">
        <v>158.4</v>
      </c>
      <c r="AA324">
        <v>161</v>
      </c>
      <c r="AB324">
        <v>162.80000000000001</v>
      </c>
      <c r="AC324">
        <v>158.6</v>
      </c>
      <c r="AD324">
        <v>165</v>
      </c>
      <c r="AE324">
        <f t="shared" si="80"/>
        <v>170.3</v>
      </c>
      <c r="AF324">
        <f t="shared" si="81"/>
        <v>164.5</v>
      </c>
      <c r="AG324">
        <f t="shared" si="82"/>
        <v>161</v>
      </c>
      <c r="AH324">
        <f t="shared" si="83"/>
        <v>161.6</v>
      </c>
      <c r="AI324">
        <f t="shared" si="84"/>
        <v>166.1</v>
      </c>
      <c r="AJ324">
        <f t="shared" si="85"/>
        <v>152.69999999999999</v>
      </c>
      <c r="AK324">
        <f t="shared" si="86"/>
        <v>162.5</v>
      </c>
      <c r="AL324">
        <f t="shared" si="87"/>
        <v>158.4</v>
      </c>
      <c r="AM324">
        <f t="shared" si="88"/>
        <v>196.4</v>
      </c>
      <c r="AN324">
        <f t="shared" si="89"/>
        <v>157.69999999999999</v>
      </c>
      <c r="AO324">
        <f t="shared" si="90"/>
        <v>165.12000000000003</v>
      </c>
    </row>
    <row r="325" spans="1:41" hidden="1" x14ac:dyDescent="0.45">
      <c r="A325" t="s">
        <v>34</v>
      </c>
      <c r="B325">
        <v>2022</v>
      </c>
      <c r="C325" t="s">
        <v>31</v>
      </c>
      <c r="D325">
        <v>164.5</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164.2</v>
      </c>
      <c r="W325">
        <v>161.1</v>
      </c>
      <c r="X325">
        <v>171.4</v>
      </c>
      <c r="Y325">
        <v>156.5</v>
      </c>
      <c r="Z325">
        <v>161.19999999999999</v>
      </c>
      <c r="AA325">
        <v>164.7</v>
      </c>
      <c r="AB325">
        <v>163</v>
      </c>
      <c r="AC325">
        <v>162.69999999999999</v>
      </c>
      <c r="AD325">
        <v>165.7</v>
      </c>
      <c r="AE325">
        <f t="shared" si="80"/>
        <v>166.4</v>
      </c>
      <c r="AF325">
        <f t="shared" si="81"/>
        <v>164.5</v>
      </c>
      <c r="AG325">
        <f t="shared" si="82"/>
        <v>164.7</v>
      </c>
      <c r="AH325">
        <f t="shared" si="83"/>
        <v>164.2</v>
      </c>
      <c r="AI325">
        <f t="shared" si="84"/>
        <v>171.4</v>
      </c>
      <c r="AJ325">
        <f t="shared" si="85"/>
        <v>156.5</v>
      </c>
      <c r="AK325">
        <f t="shared" si="86"/>
        <v>165.75</v>
      </c>
      <c r="AL325">
        <f t="shared" si="87"/>
        <v>161.19999999999999</v>
      </c>
      <c r="AM325">
        <f t="shared" si="88"/>
        <v>192.2</v>
      </c>
      <c r="AN325">
        <f t="shared" si="89"/>
        <v>161.89999999999998</v>
      </c>
      <c r="AO325">
        <f t="shared" si="90"/>
        <v>166.875</v>
      </c>
    </row>
    <row r="326" spans="1:41" hidden="1" x14ac:dyDescent="0.45">
      <c r="A326" t="s">
        <v>30</v>
      </c>
      <c r="B326">
        <v>2022</v>
      </c>
      <c r="C326" t="s">
        <v>35</v>
      </c>
      <c r="D326" t="s">
        <v>32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v>167.4</v>
      </c>
      <c r="W326">
        <v>165.7</v>
      </c>
      <c r="X326">
        <v>175.3</v>
      </c>
      <c r="Y326">
        <v>161.19999999999999</v>
      </c>
      <c r="Z326">
        <v>165.5</v>
      </c>
      <c r="AA326">
        <v>170.3</v>
      </c>
      <c r="AB326">
        <v>164.5</v>
      </c>
      <c r="AC326">
        <v>167.3</v>
      </c>
      <c r="AD326">
        <v>166.7</v>
      </c>
      <c r="AE326">
        <f t="shared" si="80"/>
        <v>163.9</v>
      </c>
      <c r="AF326" t="str">
        <f t="shared" si="81"/>
        <v>NA</v>
      </c>
      <c r="AG326">
        <f t="shared" si="82"/>
        <v>170.3</v>
      </c>
      <c r="AH326">
        <f t="shared" si="83"/>
        <v>167.4</v>
      </c>
      <c r="AI326">
        <f t="shared" si="84"/>
        <v>175.3</v>
      </c>
      <c r="AJ326">
        <f t="shared" si="85"/>
        <v>161.19999999999999</v>
      </c>
      <c r="AK326">
        <f t="shared" si="86"/>
        <v>169.1</v>
      </c>
      <c r="AL326">
        <f t="shared" si="87"/>
        <v>165.5</v>
      </c>
      <c r="AM326">
        <f t="shared" si="88"/>
        <v>191.5</v>
      </c>
      <c r="AN326">
        <f t="shared" si="89"/>
        <v>166.5</v>
      </c>
      <c r="AO326">
        <f t="shared" si="90"/>
        <v>170.07777777777781</v>
      </c>
    </row>
    <row r="327" spans="1:41" hidden="1" x14ac:dyDescent="0.45">
      <c r="A327" t="s">
        <v>33</v>
      </c>
      <c r="B327">
        <v>2022</v>
      </c>
      <c r="C327" t="s">
        <v>35</v>
      </c>
      <c r="D327">
        <v>165.5</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163</v>
      </c>
      <c r="W327">
        <v>157.4</v>
      </c>
      <c r="X327">
        <v>167.2</v>
      </c>
      <c r="Y327">
        <v>153.1</v>
      </c>
      <c r="Z327">
        <v>159.5</v>
      </c>
      <c r="AA327">
        <v>162</v>
      </c>
      <c r="AB327">
        <v>164.2</v>
      </c>
      <c r="AC327">
        <v>159.4</v>
      </c>
      <c r="AD327">
        <v>165.5</v>
      </c>
      <c r="AE327">
        <f t="shared" si="80"/>
        <v>170.2</v>
      </c>
      <c r="AF327">
        <f t="shared" si="81"/>
        <v>165.5</v>
      </c>
      <c r="AG327">
        <f t="shared" si="82"/>
        <v>162</v>
      </c>
      <c r="AH327">
        <f t="shared" si="83"/>
        <v>163</v>
      </c>
      <c r="AI327">
        <f t="shared" si="84"/>
        <v>167.2</v>
      </c>
      <c r="AJ327">
        <f t="shared" si="85"/>
        <v>153.1</v>
      </c>
      <c r="AK327">
        <f t="shared" si="86"/>
        <v>163.80000000000001</v>
      </c>
      <c r="AL327">
        <f t="shared" si="87"/>
        <v>159.5</v>
      </c>
      <c r="AM327">
        <f t="shared" si="88"/>
        <v>196.5</v>
      </c>
      <c r="AN327">
        <f t="shared" si="89"/>
        <v>158.4</v>
      </c>
      <c r="AO327">
        <f t="shared" si="90"/>
        <v>165.92000000000002</v>
      </c>
    </row>
    <row r="328" spans="1:41" hidden="1" x14ac:dyDescent="0.45">
      <c r="A328" t="s">
        <v>34</v>
      </c>
      <c r="B328">
        <v>2022</v>
      </c>
      <c r="C328" t="s">
        <v>35</v>
      </c>
      <c r="D328">
        <v>165.5</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165.7</v>
      </c>
      <c r="W328">
        <v>161.80000000000001</v>
      </c>
      <c r="X328">
        <v>172.2</v>
      </c>
      <c r="Y328">
        <v>156.9</v>
      </c>
      <c r="Z328">
        <v>162.1</v>
      </c>
      <c r="AA328">
        <v>165.4</v>
      </c>
      <c r="AB328">
        <v>164.4</v>
      </c>
      <c r="AC328">
        <v>163.5</v>
      </c>
      <c r="AD328">
        <v>166.1</v>
      </c>
      <c r="AE328">
        <f t="shared" si="80"/>
        <v>166.2</v>
      </c>
      <c r="AF328">
        <f t="shared" si="81"/>
        <v>165.5</v>
      </c>
      <c r="AG328">
        <f t="shared" si="82"/>
        <v>165.4</v>
      </c>
      <c r="AH328">
        <f t="shared" si="83"/>
        <v>165.7</v>
      </c>
      <c r="AI328">
        <f t="shared" si="84"/>
        <v>172.2</v>
      </c>
      <c r="AJ328">
        <f t="shared" si="85"/>
        <v>156.9</v>
      </c>
      <c r="AK328">
        <f t="shared" si="86"/>
        <v>167</v>
      </c>
      <c r="AL328">
        <f t="shared" si="87"/>
        <v>162.1</v>
      </c>
      <c r="AM328">
        <f t="shared" si="88"/>
        <v>192.8</v>
      </c>
      <c r="AN328">
        <f t="shared" si="89"/>
        <v>162.65</v>
      </c>
      <c r="AO328">
        <f t="shared" si="90"/>
        <v>167.64500000000001</v>
      </c>
    </row>
    <row r="329" spans="1:41" hidden="1" x14ac:dyDescent="0.45">
      <c r="A329" t="s">
        <v>30</v>
      </c>
      <c r="B329">
        <v>2022</v>
      </c>
      <c r="C329" t="s">
        <v>36</v>
      </c>
      <c r="D329" t="s">
        <v>32</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v>168.9</v>
      </c>
      <c r="W329">
        <v>166.5</v>
      </c>
      <c r="X329">
        <v>176</v>
      </c>
      <c r="Y329">
        <v>162</v>
      </c>
      <c r="Z329">
        <v>166.6</v>
      </c>
      <c r="AA329">
        <v>170.6</v>
      </c>
      <c r="AB329">
        <v>167.4</v>
      </c>
      <c r="AC329">
        <v>168.3</v>
      </c>
      <c r="AD329">
        <v>168.7</v>
      </c>
      <c r="AE329">
        <f t="shared" si="80"/>
        <v>166.6</v>
      </c>
      <c r="AF329" t="str">
        <f t="shared" si="81"/>
        <v>NA</v>
      </c>
      <c r="AG329">
        <f t="shared" si="82"/>
        <v>170.6</v>
      </c>
      <c r="AH329">
        <f t="shared" si="83"/>
        <v>168.9</v>
      </c>
      <c r="AI329">
        <f t="shared" si="84"/>
        <v>176</v>
      </c>
      <c r="AJ329">
        <f t="shared" si="85"/>
        <v>162</v>
      </c>
      <c r="AK329">
        <f t="shared" si="86"/>
        <v>171.25</v>
      </c>
      <c r="AL329">
        <f t="shared" si="87"/>
        <v>166.6</v>
      </c>
      <c r="AM329">
        <f t="shared" si="88"/>
        <v>192.3</v>
      </c>
      <c r="AN329">
        <f t="shared" si="89"/>
        <v>167.4</v>
      </c>
      <c r="AO329">
        <f t="shared" si="90"/>
        <v>171.29444444444445</v>
      </c>
    </row>
    <row r="330" spans="1:41" hidden="1" x14ac:dyDescent="0.45">
      <c r="A330" t="s">
        <v>33</v>
      </c>
      <c r="B330">
        <v>2022</v>
      </c>
      <c r="C330" t="s">
        <v>36</v>
      </c>
      <c r="D330">
        <v>165.3</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164.5</v>
      </c>
      <c r="W330">
        <v>158.6</v>
      </c>
      <c r="X330">
        <v>168.2</v>
      </c>
      <c r="Y330">
        <v>154.19999999999999</v>
      </c>
      <c r="Z330">
        <v>160.80000000000001</v>
      </c>
      <c r="AA330">
        <v>162.69999999999999</v>
      </c>
      <c r="AB330">
        <v>166.8</v>
      </c>
      <c r="AC330">
        <v>160.6</v>
      </c>
      <c r="AD330">
        <v>166.5</v>
      </c>
      <c r="AE330">
        <f t="shared" si="80"/>
        <v>171.5</v>
      </c>
      <c r="AF330">
        <f t="shared" si="81"/>
        <v>165.3</v>
      </c>
      <c r="AG330">
        <f t="shared" si="82"/>
        <v>162.69999999999999</v>
      </c>
      <c r="AH330">
        <f t="shared" si="83"/>
        <v>164.5</v>
      </c>
      <c r="AI330">
        <f t="shared" si="84"/>
        <v>168.2</v>
      </c>
      <c r="AJ330">
        <f t="shared" si="85"/>
        <v>154.19999999999999</v>
      </c>
      <c r="AK330">
        <f t="shared" si="86"/>
        <v>165.85000000000002</v>
      </c>
      <c r="AL330">
        <f t="shared" si="87"/>
        <v>160.80000000000001</v>
      </c>
      <c r="AM330">
        <f t="shared" si="88"/>
        <v>197.5</v>
      </c>
      <c r="AN330">
        <f t="shared" si="89"/>
        <v>159.6</v>
      </c>
      <c r="AO330">
        <f t="shared" si="90"/>
        <v>167.01499999999999</v>
      </c>
    </row>
    <row r="331" spans="1:41" hidden="1" x14ac:dyDescent="0.45">
      <c r="A331" t="s">
        <v>34</v>
      </c>
      <c r="B331">
        <v>2022</v>
      </c>
      <c r="C331" t="s">
        <v>36</v>
      </c>
      <c r="D331">
        <v>165.3</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167.2</v>
      </c>
      <c r="W331">
        <v>162.80000000000001</v>
      </c>
      <c r="X331">
        <v>173</v>
      </c>
      <c r="Y331">
        <v>157.9</v>
      </c>
      <c r="Z331">
        <v>163.30000000000001</v>
      </c>
      <c r="AA331">
        <v>166</v>
      </c>
      <c r="AB331">
        <v>167.2</v>
      </c>
      <c r="AC331">
        <v>164.6</v>
      </c>
      <c r="AD331">
        <v>167.7</v>
      </c>
      <c r="AE331">
        <f t="shared" si="80"/>
        <v>168.4</v>
      </c>
      <c r="AF331">
        <f t="shared" si="81"/>
        <v>165.3</v>
      </c>
      <c r="AG331">
        <f t="shared" si="82"/>
        <v>166</v>
      </c>
      <c r="AH331">
        <f t="shared" si="83"/>
        <v>167.2</v>
      </c>
      <c r="AI331">
        <f t="shared" si="84"/>
        <v>173</v>
      </c>
      <c r="AJ331">
        <f t="shared" si="85"/>
        <v>157.9</v>
      </c>
      <c r="AK331">
        <f t="shared" si="86"/>
        <v>169.14999999999998</v>
      </c>
      <c r="AL331">
        <f t="shared" si="87"/>
        <v>163.30000000000001</v>
      </c>
      <c r="AM331">
        <f t="shared" si="88"/>
        <v>193.7</v>
      </c>
      <c r="AN331">
        <f t="shared" si="89"/>
        <v>163.69999999999999</v>
      </c>
      <c r="AO331">
        <f t="shared" si="90"/>
        <v>168.76500000000001</v>
      </c>
    </row>
    <row r="332" spans="1:41" hidden="1" x14ac:dyDescent="0.45">
      <c r="A332" t="s">
        <v>30</v>
      </c>
      <c r="B332">
        <v>2022</v>
      </c>
      <c r="C332" t="s">
        <v>37</v>
      </c>
      <c r="D332" t="s">
        <v>32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v>173.3</v>
      </c>
      <c r="W332">
        <v>167.7</v>
      </c>
      <c r="X332">
        <v>177</v>
      </c>
      <c r="Y332">
        <v>166.2</v>
      </c>
      <c r="Z332">
        <v>167.2</v>
      </c>
      <c r="AA332">
        <v>170.9</v>
      </c>
      <c r="AB332">
        <v>169</v>
      </c>
      <c r="AC332">
        <v>170.2</v>
      </c>
      <c r="AD332">
        <v>170.8</v>
      </c>
      <c r="AE332">
        <f t="shared" si="80"/>
        <v>168.6</v>
      </c>
      <c r="AF332" t="str">
        <f t="shared" si="81"/>
        <v>NA</v>
      </c>
      <c r="AG332">
        <f t="shared" si="82"/>
        <v>170.9</v>
      </c>
      <c r="AH332">
        <f t="shared" si="83"/>
        <v>173.3</v>
      </c>
      <c r="AI332">
        <f t="shared" si="84"/>
        <v>177</v>
      </c>
      <c r="AJ332">
        <f t="shared" si="85"/>
        <v>166.2</v>
      </c>
      <c r="AK332">
        <f t="shared" si="86"/>
        <v>173.05</v>
      </c>
      <c r="AL332">
        <f t="shared" si="87"/>
        <v>167.2</v>
      </c>
      <c r="AM332">
        <f t="shared" si="88"/>
        <v>192.8</v>
      </c>
      <c r="AN332">
        <f t="shared" si="89"/>
        <v>168.95</v>
      </c>
      <c r="AO332">
        <f t="shared" si="90"/>
        <v>173.11111111111111</v>
      </c>
    </row>
    <row r="333" spans="1:41" hidden="1" x14ac:dyDescent="0.45">
      <c r="A333" t="s">
        <v>33</v>
      </c>
      <c r="B333">
        <v>2022</v>
      </c>
      <c r="C333" t="s">
        <v>37</v>
      </c>
      <c r="D333">
        <v>167</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170.5</v>
      </c>
      <c r="W333">
        <v>159.80000000000001</v>
      </c>
      <c r="X333">
        <v>169</v>
      </c>
      <c r="Y333">
        <v>159.30000000000001</v>
      </c>
      <c r="Z333">
        <v>162.19999999999999</v>
      </c>
      <c r="AA333">
        <v>164</v>
      </c>
      <c r="AB333">
        <v>168.4</v>
      </c>
      <c r="AC333">
        <v>163.1</v>
      </c>
      <c r="AD333">
        <v>169.2</v>
      </c>
      <c r="AE333">
        <f t="shared" si="80"/>
        <v>174.5</v>
      </c>
      <c r="AF333">
        <f t="shared" si="81"/>
        <v>167</v>
      </c>
      <c r="AG333">
        <f t="shared" si="82"/>
        <v>164</v>
      </c>
      <c r="AH333">
        <f t="shared" si="83"/>
        <v>170.5</v>
      </c>
      <c r="AI333">
        <f t="shared" si="84"/>
        <v>169</v>
      </c>
      <c r="AJ333">
        <f t="shared" si="85"/>
        <v>159.30000000000001</v>
      </c>
      <c r="AK333">
        <f t="shared" si="86"/>
        <v>167.35000000000002</v>
      </c>
      <c r="AL333">
        <f t="shared" si="87"/>
        <v>162.19999999999999</v>
      </c>
      <c r="AM333">
        <f t="shared" si="88"/>
        <v>197.1</v>
      </c>
      <c r="AN333">
        <f t="shared" si="89"/>
        <v>161.44999999999999</v>
      </c>
      <c r="AO333">
        <f t="shared" si="90"/>
        <v>169.24</v>
      </c>
    </row>
    <row r="334" spans="1:41" hidden="1" x14ac:dyDescent="0.45">
      <c r="A334" t="s">
        <v>34</v>
      </c>
      <c r="B334">
        <v>2022</v>
      </c>
      <c r="C334" t="s">
        <v>37</v>
      </c>
      <c r="D334">
        <v>167</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172.2</v>
      </c>
      <c r="W334">
        <v>164</v>
      </c>
      <c r="X334">
        <v>174</v>
      </c>
      <c r="Y334">
        <v>162.6</v>
      </c>
      <c r="Z334">
        <v>164.4</v>
      </c>
      <c r="AA334">
        <v>166.9</v>
      </c>
      <c r="AB334">
        <v>168.8</v>
      </c>
      <c r="AC334">
        <v>166.8</v>
      </c>
      <c r="AD334">
        <v>170.1</v>
      </c>
      <c r="AE334">
        <f t="shared" si="80"/>
        <v>170.8</v>
      </c>
      <c r="AF334">
        <f t="shared" si="81"/>
        <v>167</v>
      </c>
      <c r="AG334">
        <f t="shared" si="82"/>
        <v>166.9</v>
      </c>
      <c r="AH334">
        <f t="shared" si="83"/>
        <v>172.2</v>
      </c>
      <c r="AI334">
        <f t="shared" si="84"/>
        <v>174</v>
      </c>
      <c r="AJ334">
        <f t="shared" si="85"/>
        <v>162.6</v>
      </c>
      <c r="AK334">
        <f t="shared" si="86"/>
        <v>170.8</v>
      </c>
      <c r="AL334">
        <f t="shared" si="87"/>
        <v>164.4</v>
      </c>
      <c r="AM334">
        <f t="shared" si="88"/>
        <v>193.9</v>
      </c>
      <c r="AN334">
        <f t="shared" si="89"/>
        <v>165.4</v>
      </c>
      <c r="AO334">
        <f t="shared" si="90"/>
        <v>170.80000000000004</v>
      </c>
    </row>
    <row r="335" spans="1:41" hidden="1" x14ac:dyDescent="0.45">
      <c r="A335" t="s">
        <v>30</v>
      </c>
      <c r="B335">
        <v>2022</v>
      </c>
      <c r="C335" t="s">
        <v>38</v>
      </c>
      <c r="D335" t="s">
        <v>32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v>175.3</v>
      </c>
      <c r="W335">
        <v>168.9</v>
      </c>
      <c r="X335">
        <v>177.7</v>
      </c>
      <c r="Y335">
        <v>167.1</v>
      </c>
      <c r="Z335">
        <v>167.6</v>
      </c>
      <c r="AA335">
        <v>171.8</v>
      </c>
      <c r="AB335">
        <v>168.5</v>
      </c>
      <c r="AC335">
        <v>170.9</v>
      </c>
      <c r="AD335">
        <v>172.5</v>
      </c>
      <c r="AE335">
        <f t="shared" si="80"/>
        <v>170.8</v>
      </c>
      <c r="AF335" t="str">
        <f t="shared" si="81"/>
        <v>NA</v>
      </c>
      <c r="AG335">
        <f t="shared" si="82"/>
        <v>171.8</v>
      </c>
      <c r="AH335">
        <f t="shared" si="83"/>
        <v>175.3</v>
      </c>
      <c r="AI335">
        <f t="shared" si="84"/>
        <v>177.7</v>
      </c>
      <c r="AJ335">
        <f t="shared" si="85"/>
        <v>167.1</v>
      </c>
      <c r="AK335">
        <f t="shared" si="86"/>
        <v>173.75</v>
      </c>
      <c r="AL335">
        <f t="shared" si="87"/>
        <v>167.6</v>
      </c>
      <c r="AM335">
        <f t="shared" si="88"/>
        <v>192.9</v>
      </c>
      <c r="AN335">
        <f t="shared" si="89"/>
        <v>169.9</v>
      </c>
      <c r="AO335">
        <f t="shared" si="90"/>
        <v>174.09444444444449</v>
      </c>
    </row>
    <row r="336" spans="1:41" hidden="1" x14ac:dyDescent="0.45">
      <c r="A336" t="s">
        <v>33</v>
      </c>
      <c r="B336">
        <v>2022</v>
      </c>
      <c r="C336" t="s">
        <v>38</v>
      </c>
      <c r="D336">
        <v>167.5</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173.5</v>
      </c>
      <c r="W336">
        <v>161.1</v>
      </c>
      <c r="X336">
        <v>170.1</v>
      </c>
      <c r="Y336">
        <v>159.4</v>
      </c>
      <c r="Z336">
        <v>163.19999999999999</v>
      </c>
      <c r="AA336">
        <v>165.2</v>
      </c>
      <c r="AB336">
        <v>168.2</v>
      </c>
      <c r="AC336">
        <v>163.80000000000001</v>
      </c>
      <c r="AD336">
        <v>170.8</v>
      </c>
      <c r="AE336">
        <f t="shared" si="80"/>
        <v>177.5</v>
      </c>
      <c r="AF336">
        <f t="shared" si="81"/>
        <v>167.5</v>
      </c>
      <c r="AG336">
        <f t="shared" si="82"/>
        <v>165.2</v>
      </c>
      <c r="AH336">
        <f t="shared" si="83"/>
        <v>173.5</v>
      </c>
      <c r="AI336">
        <f t="shared" si="84"/>
        <v>170.1</v>
      </c>
      <c r="AJ336">
        <f t="shared" si="85"/>
        <v>159.4</v>
      </c>
      <c r="AK336">
        <f t="shared" si="86"/>
        <v>168</v>
      </c>
      <c r="AL336">
        <f t="shared" si="87"/>
        <v>163.19999999999999</v>
      </c>
      <c r="AM336">
        <f t="shared" si="88"/>
        <v>197.5</v>
      </c>
      <c r="AN336">
        <f t="shared" si="89"/>
        <v>162.44999999999999</v>
      </c>
      <c r="AO336">
        <f t="shared" si="90"/>
        <v>170.435</v>
      </c>
    </row>
    <row r="337" spans="1:41" hidden="1" x14ac:dyDescent="0.45">
      <c r="A337" t="s">
        <v>34</v>
      </c>
      <c r="B337">
        <v>2022</v>
      </c>
      <c r="C337" t="s">
        <v>38</v>
      </c>
      <c r="D337">
        <v>167.5</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174.6</v>
      </c>
      <c r="W337">
        <v>165.2</v>
      </c>
      <c r="X337">
        <v>174.8</v>
      </c>
      <c r="Y337">
        <v>163</v>
      </c>
      <c r="Z337">
        <v>165.1</v>
      </c>
      <c r="AA337">
        <v>167.9</v>
      </c>
      <c r="AB337">
        <v>168.4</v>
      </c>
      <c r="AC337">
        <v>167.5</v>
      </c>
      <c r="AD337">
        <v>171.7</v>
      </c>
      <c r="AE337">
        <f t="shared" si="80"/>
        <v>173.3</v>
      </c>
      <c r="AF337">
        <f t="shared" si="81"/>
        <v>167.5</v>
      </c>
      <c r="AG337">
        <f t="shared" si="82"/>
        <v>167.9</v>
      </c>
      <c r="AH337">
        <f t="shared" si="83"/>
        <v>174.6</v>
      </c>
      <c r="AI337">
        <f t="shared" si="84"/>
        <v>174.8</v>
      </c>
      <c r="AJ337">
        <f t="shared" si="85"/>
        <v>163</v>
      </c>
      <c r="AK337">
        <f t="shared" si="86"/>
        <v>171.5</v>
      </c>
      <c r="AL337">
        <f t="shared" si="87"/>
        <v>165.1</v>
      </c>
      <c r="AM337">
        <f t="shared" si="88"/>
        <v>194.1</v>
      </c>
      <c r="AN337">
        <f t="shared" si="89"/>
        <v>166.35</v>
      </c>
      <c r="AO337">
        <f t="shared" si="90"/>
        <v>171.815</v>
      </c>
    </row>
    <row r="338" spans="1:41" hidden="1" x14ac:dyDescent="0.45">
      <c r="A338" t="s">
        <v>30</v>
      </c>
      <c r="B338">
        <v>2022</v>
      </c>
      <c r="C338" t="s">
        <v>39</v>
      </c>
      <c r="D338" t="s">
        <v>32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v>176.7</v>
      </c>
      <c r="W338">
        <v>170.3</v>
      </c>
      <c r="X338">
        <v>178.2</v>
      </c>
      <c r="Y338">
        <v>165.5</v>
      </c>
      <c r="Z338">
        <v>168</v>
      </c>
      <c r="AA338">
        <v>172.6</v>
      </c>
      <c r="AB338">
        <v>169.5</v>
      </c>
      <c r="AC338">
        <v>171</v>
      </c>
      <c r="AD338">
        <v>173.6</v>
      </c>
      <c r="AE338">
        <f t="shared" si="80"/>
        <v>172.4</v>
      </c>
      <c r="AF338" t="str">
        <f t="shared" si="81"/>
        <v>NA</v>
      </c>
      <c r="AG338">
        <f t="shared" si="82"/>
        <v>172.6</v>
      </c>
      <c r="AH338">
        <f t="shared" si="83"/>
        <v>176.7</v>
      </c>
      <c r="AI338">
        <f t="shared" si="84"/>
        <v>178.2</v>
      </c>
      <c r="AJ338">
        <f t="shared" si="85"/>
        <v>165.5</v>
      </c>
      <c r="AK338">
        <f t="shared" si="86"/>
        <v>174.95</v>
      </c>
      <c r="AL338">
        <f t="shared" si="87"/>
        <v>168</v>
      </c>
      <c r="AM338">
        <f t="shared" si="88"/>
        <v>192.9</v>
      </c>
      <c r="AN338">
        <f t="shared" si="89"/>
        <v>170.65</v>
      </c>
      <c r="AO338">
        <f t="shared" si="90"/>
        <v>174.65555555555559</v>
      </c>
    </row>
    <row r="339" spans="1:41" hidden="1" x14ac:dyDescent="0.45">
      <c r="A339" t="s">
        <v>33</v>
      </c>
      <c r="B339">
        <v>2022</v>
      </c>
      <c r="C339" t="s">
        <v>39</v>
      </c>
      <c r="D339">
        <v>166.8</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174.9</v>
      </c>
      <c r="W339">
        <v>162.1</v>
      </c>
      <c r="X339">
        <v>170.9</v>
      </c>
      <c r="Y339">
        <v>157.19999999999999</v>
      </c>
      <c r="Z339">
        <v>164.1</v>
      </c>
      <c r="AA339">
        <v>166.5</v>
      </c>
      <c r="AB339">
        <v>169.2</v>
      </c>
      <c r="AC339">
        <v>163.80000000000001</v>
      </c>
      <c r="AD339">
        <v>171.4</v>
      </c>
      <c r="AE339">
        <f t="shared" si="80"/>
        <v>179.3</v>
      </c>
      <c r="AF339">
        <f t="shared" si="81"/>
        <v>166.8</v>
      </c>
      <c r="AG339">
        <f t="shared" si="82"/>
        <v>166.5</v>
      </c>
      <c r="AH339">
        <f t="shared" si="83"/>
        <v>174.9</v>
      </c>
      <c r="AI339">
        <f t="shared" si="84"/>
        <v>170.9</v>
      </c>
      <c r="AJ339">
        <f t="shared" si="85"/>
        <v>157.19999999999999</v>
      </c>
      <c r="AK339">
        <f t="shared" si="86"/>
        <v>169.3</v>
      </c>
      <c r="AL339">
        <f t="shared" si="87"/>
        <v>164.1</v>
      </c>
      <c r="AM339">
        <f t="shared" si="88"/>
        <v>198.3</v>
      </c>
      <c r="AN339">
        <f t="shared" si="89"/>
        <v>162.94999999999999</v>
      </c>
      <c r="AO339">
        <f t="shared" si="90"/>
        <v>171.02499999999998</v>
      </c>
    </row>
    <row r="340" spans="1:41" hidden="1" x14ac:dyDescent="0.45">
      <c r="A340" t="s">
        <v>34</v>
      </c>
      <c r="B340">
        <v>2022</v>
      </c>
      <c r="C340" t="s">
        <v>39</v>
      </c>
      <c r="D340">
        <v>166.8</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176</v>
      </c>
      <c r="W340">
        <v>166.4</v>
      </c>
      <c r="X340">
        <v>175.4</v>
      </c>
      <c r="Y340">
        <v>161.1</v>
      </c>
      <c r="Z340">
        <v>165.8</v>
      </c>
      <c r="AA340">
        <v>169</v>
      </c>
      <c r="AB340">
        <v>169.4</v>
      </c>
      <c r="AC340">
        <v>167.5</v>
      </c>
      <c r="AD340">
        <v>172.6</v>
      </c>
      <c r="AE340">
        <f t="shared" si="80"/>
        <v>174.9</v>
      </c>
      <c r="AF340">
        <f t="shared" si="81"/>
        <v>166.8</v>
      </c>
      <c r="AG340">
        <f t="shared" si="82"/>
        <v>169</v>
      </c>
      <c r="AH340">
        <f t="shared" si="83"/>
        <v>176</v>
      </c>
      <c r="AI340">
        <f t="shared" si="84"/>
        <v>175.4</v>
      </c>
      <c r="AJ340">
        <f t="shared" si="85"/>
        <v>161.1</v>
      </c>
      <c r="AK340">
        <f t="shared" si="86"/>
        <v>172.7</v>
      </c>
      <c r="AL340">
        <f t="shared" si="87"/>
        <v>165.8</v>
      </c>
      <c r="AM340">
        <f t="shared" si="88"/>
        <v>194.3</v>
      </c>
      <c r="AN340">
        <f t="shared" si="89"/>
        <v>166.95</v>
      </c>
      <c r="AO340">
        <f t="shared" si="90"/>
        <v>172.29500000000002</v>
      </c>
    </row>
    <row r="341" spans="1:41" hidden="1" x14ac:dyDescent="0.45">
      <c r="A341" t="s">
        <v>30</v>
      </c>
      <c r="B341">
        <v>2022</v>
      </c>
      <c r="C341" t="s">
        <v>40</v>
      </c>
      <c r="D341" t="s">
        <v>32</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v>179.6</v>
      </c>
      <c r="W341">
        <v>171.3</v>
      </c>
      <c r="X341">
        <v>178.8</v>
      </c>
      <c r="Y341">
        <v>166.3</v>
      </c>
      <c r="Z341">
        <v>168.6</v>
      </c>
      <c r="AA341">
        <v>174.7</v>
      </c>
      <c r="AB341">
        <v>169.7</v>
      </c>
      <c r="AC341">
        <v>171.8</v>
      </c>
      <c r="AD341">
        <v>174.3</v>
      </c>
      <c r="AE341">
        <f t="shared" si="80"/>
        <v>172.5</v>
      </c>
      <c r="AF341" t="str">
        <f t="shared" si="81"/>
        <v>NA</v>
      </c>
      <c r="AG341">
        <f t="shared" si="82"/>
        <v>174.7</v>
      </c>
      <c r="AH341">
        <f t="shared" si="83"/>
        <v>179.6</v>
      </c>
      <c r="AI341">
        <f t="shared" si="84"/>
        <v>178.8</v>
      </c>
      <c r="AJ341">
        <f t="shared" si="85"/>
        <v>166.3</v>
      </c>
      <c r="AK341">
        <f t="shared" si="86"/>
        <v>175.7</v>
      </c>
      <c r="AL341">
        <f t="shared" si="87"/>
        <v>168.6</v>
      </c>
      <c r="AM341">
        <f t="shared" si="88"/>
        <v>193.2</v>
      </c>
      <c r="AN341">
        <f t="shared" si="89"/>
        <v>171.55</v>
      </c>
      <c r="AO341">
        <f t="shared" si="90"/>
        <v>175.6611111111111</v>
      </c>
    </row>
    <row r="342" spans="1:41" hidden="1" x14ac:dyDescent="0.45">
      <c r="A342" t="s">
        <v>33</v>
      </c>
      <c r="B342">
        <v>2022</v>
      </c>
      <c r="C342" t="s">
        <v>40</v>
      </c>
      <c r="D342">
        <v>167.8</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179.5</v>
      </c>
      <c r="W342">
        <v>163.1</v>
      </c>
      <c r="X342">
        <v>171.7</v>
      </c>
      <c r="Y342">
        <v>157.4</v>
      </c>
      <c r="Z342">
        <v>164.6</v>
      </c>
      <c r="AA342">
        <v>169.1</v>
      </c>
      <c r="AB342">
        <v>169.8</v>
      </c>
      <c r="AC342">
        <v>164.7</v>
      </c>
      <c r="AD342">
        <v>172.3</v>
      </c>
      <c r="AE342">
        <f t="shared" si="80"/>
        <v>179.4</v>
      </c>
      <c r="AF342">
        <f t="shared" si="81"/>
        <v>167.8</v>
      </c>
      <c r="AG342">
        <f t="shared" si="82"/>
        <v>169.1</v>
      </c>
      <c r="AH342">
        <f t="shared" si="83"/>
        <v>179.5</v>
      </c>
      <c r="AI342">
        <f t="shared" si="84"/>
        <v>171.7</v>
      </c>
      <c r="AJ342">
        <f t="shared" si="85"/>
        <v>157.4</v>
      </c>
      <c r="AK342">
        <f t="shared" si="86"/>
        <v>170.2</v>
      </c>
      <c r="AL342">
        <f t="shared" si="87"/>
        <v>164.6</v>
      </c>
      <c r="AM342">
        <f t="shared" si="88"/>
        <v>198.6</v>
      </c>
      <c r="AN342">
        <f t="shared" si="89"/>
        <v>163.89999999999998</v>
      </c>
      <c r="AO342">
        <f t="shared" si="90"/>
        <v>172.21999999999997</v>
      </c>
    </row>
    <row r="343" spans="1:41" hidden="1" x14ac:dyDescent="0.45">
      <c r="A343" t="s">
        <v>34</v>
      </c>
      <c r="B343">
        <v>2022</v>
      </c>
      <c r="C343" t="s">
        <v>40</v>
      </c>
      <c r="D343">
        <v>167.8</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179.6</v>
      </c>
      <c r="W343">
        <v>167.4</v>
      </c>
      <c r="X343">
        <v>176.1</v>
      </c>
      <c r="Y343">
        <v>161.6</v>
      </c>
      <c r="Z343">
        <v>166.3</v>
      </c>
      <c r="AA343">
        <v>171.4</v>
      </c>
      <c r="AB343">
        <v>169.7</v>
      </c>
      <c r="AC343">
        <v>168.4</v>
      </c>
      <c r="AD343">
        <v>173.4</v>
      </c>
      <c r="AE343">
        <f t="shared" si="80"/>
        <v>175</v>
      </c>
      <c r="AF343">
        <f t="shared" si="81"/>
        <v>167.8</v>
      </c>
      <c r="AG343">
        <f t="shared" si="82"/>
        <v>171.4</v>
      </c>
      <c r="AH343">
        <f t="shared" si="83"/>
        <v>179.6</v>
      </c>
      <c r="AI343">
        <f t="shared" si="84"/>
        <v>176.1</v>
      </c>
      <c r="AJ343">
        <f t="shared" si="85"/>
        <v>161.6</v>
      </c>
      <c r="AK343">
        <f t="shared" si="86"/>
        <v>173.5</v>
      </c>
      <c r="AL343">
        <f t="shared" si="87"/>
        <v>166.3</v>
      </c>
      <c r="AM343">
        <f t="shared" si="88"/>
        <v>194.6</v>
      </c>
      <c r="AN343">
        <f t="shared" si="89"/>
        <v>167.9</v>
      </c>
      <c r="AO343">
        <f t="shared" si="90"/>
        <v>173.38</v>
      </c>
    </row>
    <row r="344" spans="1:41" hidden="1" x14ac:dyDescent="0.45">
      <c r="A344" t="s">
        <v>30</v>
      </c>
      <c r="B344">
        <v>2022</v>
      </c>
      <c r="C344" t="s">
        <v>41</v>
      </c>
      <c r="D344" t="s">
        <v>32</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v>179.1</v>
      </c>
      <c r="W344">
        <v>172.3</v>
      </c>
      <c r="X344">
        <v>179.4</v>
      </c>
      <c r="Y344">
        <v>166.6</v>
      </c>
      <c r="Z344">
        <v>169.3</v>
      </c>
      <c r="AA344">
        <v>175.7</v>
      </c>
      <c r="AB344">
        <v>171.1</v>
      </c>
      <c r="AC344">
        <v>172.6</v>
      </c>
      <c r="AD344">
        <v>175.3</v>
      </c>
      <c r="AE344">
        <f t="shared" si="80"/>
        <v>173.9</v>
      </c>
      <c r="AF344" t="str">
        <f t="shared" si="81"/>
        <v>NA</v>
      </c>
      <c r="AG344">
        <f t="shared" si="82"/>
        <v>175.7</v>
      </c>
      <c r="AH344">
        <f t="shared" si="83"/>
        <v>179.1</v>
      </c>
      <c r="AI344">
        <f t="shared" si="84"/>
        <v>179.4</v>
      </c>
      <c r="AJ344">
        <f t="shared" si="85"/>
        <v>166.6</v>
      </c>
      <c r="AK344">
        <f t="shared" si="86"/>
        <v>177.05</v>
      </c>
      <c r="AL344">
        <f t="shared" si="87"/>
        <v>169.3</v>
      </c>
      <c r="AM344">
        <f t="shared" si="88"/>
        <v>193.7</v>
      </c>
      <c r="AN344">
        <f t="shared" si="89"/>
        <v>172.45</v>
      </c>
      <c r="AO344">
        <f t="shared" si="90"/>
        <v>176.35555555555555</v>
      </c>
    </row>
    <row r="345" spans="1:41" hidden="1" x14ac:dyDescent="0.45">
      <c r="A345" t="s">
        <v>33</v>
      </c>
      <c r="B345">
        <v>2022</v>
      </c>
      <c r="C345" t="s">
        <v>41</v>
      </c>
      <c r="D345">
        <v>169</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178.4</v>
      </c>
      <c r="W345">
        <v>164.2</v>
      </c>
      <c r="X345">
        <v>172.6</v>
      </c>
      <c r="Y345">
        <v>157.69999999999999</v>
      </c>
      <c r="Z345">
        <v>165.1</v>
      </c>
      <c r="AA345">
        <v>169.9</v>
      </c>
      <c r="AB345">
        <v>171.4</v>
      </c>
      <c r="AC345">
        <v>165.4</v>
      </c>
      <c r="AD345">
        <v>173.1</v>
      </c>
      <c r="AE345">
        <f t="shared" si="80"/>
        <v>180.4</v>
      </c>
      <c r="AF345">
        <f t="shared" si="81"/>
        <v>169</v>
      </c>
      <c r="AG345">
        <f t="shared" si="82"/>
        <v>169.9</v>
      </c>
      <c r="AH345">
        <f t="shared" si="83"/>
        <v>178.4</v>
      </c>
      <c r="AI345">
        <f t="shared" si="84"/>
        <v>172.6</v>
      </c>
      <c r="AJ345">
        <f t="shared" si="85"/>
        <v>157.69999999999999</v>
      </c>
      <c r="AK345">
        <f t="shared" si="86"/>
        <v>171.5</v>
      </c>
      <c r="AL345">
        <f t="shared" si="87"/>
        <v>165.1</v>
      </c>
      <c r="AM345">
        <f t="shared" si="88"/>
        <v>198.7</v>
      </c>
      <c r="AN345">
        <f t="shared" si="89"/>
        <v>164.8</v>
      </c>
      <c r="AO345">
        <f t="shared" si="90"/>
        <v>172.81</v>
      </c>
    </row>
    <row r="346" spans="1:41" hidden="1" x14ac:dyDescent="0.45">
      <c r="A346" t="s">
        <v>34</v>
      </c>
      <c r="B346">
        <v>2022</v>
      </c>
      <c r="C346" t="s">
        <v>41</v>
      </c>
      <c r="D346">
        <v>169</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178.8</v>
      </c>
      <c r="W346">
        <v>168.5</v>
      </c>
      <c r="X346">
        <v>176.8</v>
      </c>
      <c r="Y346">
        <v>161.9</v>
      </c>
      <c r="Z346">
        <v>166.9</v>
      </c>
      <c r="AA346">
        <v>172.3</v>
      </c>
      <c r="AB346">
        <v>171.2</v>
      </c>
      <c r="AC346">
        <v>169.1</v>
      </c>
      <c r="AD346">
        <v>174.3</v>
      </c>
      <c r="AE346">
        <f t="shared" si="80"/>
        <v>176.3</v>
      </c>
      <c r="AF346">
        <f t="shared" si="81"/>
        <v>169</v>
      </c>
      <c r="AG346">
        <f t="shared" si="82"/>
        <v>172.3</v>
      </c>
      <c r="AH346">
        <f t="shared" si="83"/>
        <v>178.8</v>
      </c>
      <c r="AI346">
        <f t="shared" si="84"/>
        <v>176.8</v>
      </c>
      <c r="AJ346">
        <f t="shared" si="85"/>
        <v>161.9</v>
      </c>
      <c r="AK346">
        <f t="shared" si="86"/>
        <v>174.85</v>
      </c>
      <c r="AL346">
        <f t="shared" si="87"/>
        <v>166.9</v>
      </c>
      <c r="AM346">
        <f t="shared" si="88"/>
        <v>195</v>
      </c>
      <c r="AN346">
        <f t="shared" si="89"/>
        <v>168.8</v>
      </c>
      <c r="AO346">
        <f t="shared" si="90"/>
        <v>174.065</v>
      </c>
    </row>
    <row r="347" spans="1:41" hidden="1" x14ac:dyDescent="0.45">
      <c r="A347" t="s">
        <v>30</v>
      </c>
      <c r="B347">
        <v>2022</v>
      </c>
      <c r="C347" t="s">
        <v>42</v>
      </c>
      <c r="D347" t="s">
        <v>32</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v>179.7</v>
      </c>
      <c r="W347">
        <v>173.6</v>
      </c>
      <c r="X347">
        <v>180.2</v>
      </c>
      <c r="Y347">
        <v>166.9</v>
      </c>
      <c r="Z347">
        <v>170</v>
      </c>
      <c r="AA347">
        <v>176.2</v>
      </c>
      <c r="AB347">
        <v>170.8</v>
      </c>
      <c r="AC347">
        <v>173.1</v>
      </c>
      <c r="AD347">
        <v>176.4</v>
      </c>
      <c r="AE347">
        <f t="shared" si="80"/>
        <v>175.5</v>
      </c>
      <c r="AF347" t="str">
        <f t="shared" si="81"/>
        <v>NA</v>
      </c>
      <c r="AG347">
        <f t="shared" si="82"/>
        <v>176.2</v>
      </c>
      <c r="AH347">
        <f t="shared" si="83"/>
        <v>179.7</v>
      </c>
      <c r="AI347">
        <f t="shared" si="84"/>
        <v>180.2</v>
      </c>
      <c r="AJ347">
        <f t="shared" si="85"/>
        <v>166.9</v>
      </c>
      <c r="AK347">
        <f t="shared" si="86"/>
        <v>177.65</v>
      </c>
      <c r="AL347">
        <f t="shared" si="87"/>
        <v>170</v>
      </c>
      <c r="AM347">
        <f t="shared" si="88"/>
        <v>194.5</v>
      </c>
      <c r="AN347">
        <f t="shared" si="89"/>
        <v>173.35</v>
      </c>
      <c r="AO347">
        <f t="shared" si="90"/>
        <v>177.11111111111109</v>
      </c>
    </row>
    <row r="348" spans="1:41" hidden="1" x14ac:dyDescent="0.45">
      <c r="A348" t="s">
        <v>33</v>
      </c>
      <c r="B348">
        <v>2022</v>
      </c>
      <c r="C348" t="s">
        <v>42</v>
      </c>
      <c r="D348">
        <v>169.5</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179.2</v>
      </c>
      <c r="W348">
        <v>165</v>
      </c>
      <c r="X348">
        <v>173.8</v>
      </c>
      <c r="Y348">
        <v>158.19999999999999</v>
      </c>
      <c r="Z348">
        <v>165.8</v>
      </c>
      <c r="AA348">
        <v>170.9</v>
      </c>
      <c r="AB348">
        <v>171.1</v>
      </c>
      <c r="AC348">
        <v>166.1</v>
      </c>
      <c r="AD348">
        <v>174.1</v>
      </c>
      <c r="AE348">
        <f t="shared" si="80"/>
        <v>181.8</v>
      </c>
      <c r="AF348">
        <f t="shared" si="81"/>
        <v>169.5</v>
      </c>
      <c r="AG348">
        <f t="shared" si="82"/>
        <v>170.9</v>
      </c>
      <c r="AH348">
        <f t="shared" si="83"/>
        <v>179.2</v>
      </c>
      <c r="AI348">
        <f t="shared" si="84"/>
        <v>173.8</v>
      </c>
      <c r="AJ348">
        <f t="shared" si="85"/>
        <v>158.19999999999999</v>
      </c>
      <c r="AK348">
        <f t="shared" si="86"/>
        <v>172.05</v>
      </c>
      <c r="AL348">
        <f t="shared" si="87"/>
        <v>165.8</v>
      </c>
      <c r="AM348">
        <f t="shared" si="88"/>
        <v>199.7</v>
      </c>
      <c r="AN348">
        <f t="shared" si="89"/>
        <v>165.55</v>
      </c>
      <c r="AO348">
        <f t="shared" si="90"/>
        <v>173.65</v>
      </c>
    </row>
    <row r="349" spans="1:41" hidden="1" x14ac:dyDescent="0.45">
      <c r="A349" t="s">
        <v>34</v>
      </c>
      <c r="B349">
        <v>2022</v>
      </c>
      <c r="C349" t="s">
        <v>42</v>
      </c>
      <c r="D349">
        <v>169.5</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179.5</v>
      </c>
      <c r="W349">
        <v>169.5</v>
      </c>
      <c r="X349">
        <v>177.8</v>
      </c>
      <c r="Y349">
        <v>162.30000000000001</v>
      </c>
      <c r="Z349">
        <v>167.6</v>
      </c>
      <c r="AA349">
        <v>173.1</v>
      </c>
      <c r="AB349">
        <v>170.9</v>
      </c>
      <c r="AC349">
        <v>169.7</v>
      </c>
      <c r="AD349">
        <v>175.3</v>
      </c>
      <c r="AE349">
        <f t="shared" si="80"/>
        <v>177.8</v>
      </c>
      <c r="AF349">
        <f t="shared" si="81"/>
        <v>169.5</v>
      </c>
      <c r="AG349">
        <f t="shared" si="82"/>
        <v>173.1</v>
      </c>
      <c r="AH349">
        <f t="shared" si="83"/>
        <v>179.5</v>
      </c>
      <c r="AI349">
        <f t="shared" si="84"/>
        <v>177.8</v>
      </c>
      <c r="AJ349">
        <f t="shared" si="85"/>
        <v>162.30000000000001</v>
      </c>
      <c r="AK349">
        <f t="shared" si="86"/>
        <v>175.4</v>
      </c>
      <c r="AL349">
        <f t="shared" si="87"/>
        <v>167.6</v>
      </c>
      <c r="AM349">
        <f t="shared" si="88"/>
        <v>195.9</v>
      </c>
      <c r="AN349">
        <f t="shared" si="89"/>
        <v>169.6</v>
      </c>
      <c r="AO349">
        <f t="shared" si="90"/>
        <v>174.85</v>
      </c>
    </row>
    <row r="350" spans="1:41" hidden="1" x14ac:dyDescent="0.45">
      <c r="A350" t="s">
        <v>30</v>
      </c>
      <c r="B350">
        <v>2022</v>
      </c>
      <c r="C350" t="s">
        <v>43</v>
      </c>
      <c r="D350" t="s">
        <v>32</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v>180.8</v>
      </c>
      <c r="W350">
        <v>174.4</v>
      </c>
      <c r="X350">
        <v>181.2</v>
      </c>
      <c r="Y350">
        <v>167.4</v>
      </c>
      <c r="Z350">
        <v>170.6</v>
      </c>
      <c r="AA350">
        <v>176.5</v>
      </c>
      <c r="AB350">
        <v>172</v>
      </c>
      <c r="AC350">
        <v>173.9</v>
      </c>
      <c r="AD350">
        <v>177.9</v>
      </c>
      <c r="AE350">
        <f t="shared" si="80"/>
        <v>177.4</v>
      </c>
      <c r="AF350" t="str">
        <f t="shared" si="81"/>
        <v>NA</v>
      </c>
      <c r="AG350">
        <f t="shared" si="82"/>
        <v>176.5</v>
      </c>
      <c r="AH350">
        <f t="shared" si="83"/>
        <v>180.8</v>
      </c>
      <c r="AI350">
        <f t="shared" si="84"/>
        <v>181.2</v>
      </c>
      <c r="AJ350">
        <f t="shared" si="85"/>
        <v>167.4</v>
      </c>
      <c r="AK350">
        <f t="shared" si="86"/>
        <v>178.95</v>
      </c>
      <c r="AL350">
        <f t="shared" si="87"/>
        <v>170.6</v>
      </c>
      <c r="AM350">
        <f t="shared" si="88"/>
        <v>194.9</v>
      </c>
      <c r="AN350">
        <f t="shared" si="89"/>
        <v>174.15</v>
      </c>
      <c r="AO350">
        <f t="shared" si="90"/>
        <v>177.98888888888891</v>
      </c>
    </row>
    <row r="351" spans="1:41" hidden="1" x14ac:dyDescent="0.45">
      <c r="A351" t="s">
        <v>33</v>
      </c>
      <c r="B351">
        <v>2022</v>
      </c>
      <c r="C351" t="s">
        <v>43</v>
      </c>
      <c r="D351">
        <v>171.2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180</v>
      </c>
      <c r="W351">
        <v>166</v>
      </c>
      <c r="X351">
        <v>174.7</v>
      </c>
      <c r="Y351">
        <v>158.80000000000001</v>
      </c>
      <c r="Z351">
        <v>166.3</v>
      </c>
      <c r="AA351">
        <v>171.2</v>
      </c>
      <c r="AB351">
        <v>172.3</v>
      </c>
      <c r="AC351">
        <v>166.8</v>
      </c>
      <c r="AD351">
        <v>175.3</v>
      </c>
      <c r="AE351">
        <f t="shared" si="80"/>
        <v>183.3</v>
      </c>
      <c r="AF351">
        <f t="shared" si="81"/>
        <v>171.2</v>
      </c>
      <c r="AG351">
        <f t="shared" si="82"/>
        <v>171.2</v>
      </c>
      <c r="AH351">
        <f t="shared" si="83"/>
        <v>180</v>
      </c>
      <c r="AI351">
        <f t="shared" si="84"/>
        <v>174.7</v>
      </c>
      <c r="AJ351">
        <f t="shared" si="85"/>
        <v>158.80000000000001</v>
      </c>
      <c r="AK351">
        <f t="shared" si="86"/>
        <v>172.95</v>
      </c>
      <c r="AL351">
        <f t="shared" si="87"/>
        <v>166.3</v>
      </c>
      <c r="AM351">
        <f t="shared" si="88"/>
        <v>200.1</v>
      </c>
      <c r="AN351">
        <f t="shared" si="89"/>
        <v>166.4</v>
      </c>
      <c r="AO351">
        <f t="shared" si="90"/>
        <v>174.495</v>
      </c>
    </row>
    <row r="352" spans="1:41" hidden="1" x14ac:dyDescent="0.45">
      <c r="A352" t="s">
        <v>34</v>
      </c>
      <c r="B352">
        <v>2022</v>
      </c>
      <c r="C352" t="s">
        <v>43</v>
      </c>
      <c r="D352">
        <v>171.2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180.5</v>
      </c>
      <c r="W352">
        <v>170.4</v>
      </c>
      <c r="X352">
        <v>178.7</v>
      </c>
      <c r="Y352">
        <v>162.9</v>
      </c>
      <c r="Z352">
        <v>168.2</v>
      </c>
      <c r="AA352">
        <v>173.4</v>
      </c>
      <c r="AB352">
        <v>172.1</v>
      </c>
      <c r="AC352">
        <v>170.5</v>
      </c>
      <c r="AD352">
        <v>176.7</v>
      </c>
      <c r="AE352">
        <f t="shared" si="80"/>
        <v>179.6</v>
      </c>
      <c r="AF352">
        <f t="shared" si="81"/>
        <v>171.2</v>
      </c>
      <c r="AG352">
        <f t="shared" si="82"/>
        <v>173.4</v>
      </c>
      <c r="AH352">
        <f t="shared" si="83"/>
        <v>180.5</v>
      </c>
      <c r="AI352">
        <f t="shared" si="84"/>
        <v>178.7</v>
      </c>
      <c r="AJ352">
        <f t="shared" si="85"/>
        <v>162.9</v>
      </c>
      <c r="AK352">
        <f t="shared" si="86"/>
        <v>176.55</v>
      </c>
      <c r="AL352">
        <f t="shared" si="87"/>
        <v>168.2</v>
      </c>
      <c r="AM352">
        <f t="shared" si="88"/>
        <v>196.3</v>
      </c>
      <c r="AN352">
        <f t="shared" si="89"/>
        <v>170.45</v>
      </c>
      <c r="AO352">
        <f t="shared" si="90"/>
        <v>175.78</v>
      </c>
    </row>
    <row r="353" spans="1:41" hidden="1" x14ac:dyDescent="0.45">
      <c r="A353" t="s">
        <v>30</v>
      </c>
      <c r="B353">
        <v>2022</v>
      </c>
      <c r="C353" t="s">
        <v>45</v>
      </c>
      <c r="D353" t="s">
        <v>32</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v>181.9</v>
      </c>
      <c r="W353">
        <v>175.5</v>
      </c>
      <c r="X353">
        <v>182.3</v>
      </c>
      <c r="Y353">
        <v>167.5</v>
      </c>
      <c r="Z353">
        <v>170.8</v>
      </c>
      <c r="AA353">
        <v>176.9</v>
      </c>
      <c r="AB353">
        <v>173.4</v>
      </c>
      <c r="AC353">
        <v>174.6</v>
      </c>
      <c r="AD353">
        <v>177.8</v>
      </c>
      <c r="AE353">
        <f t="shared" si="80"/>
        <v>176.6</v>
      </c>
      <c r="AF353" t="str">
        <f t="shared" si="81"/>
        <v>NA</v>
      </c>
      <c r="AG353">
        <f t="shared" si="82"/>
        <v>176.9</v>
      </c>
      <c r="AH353">
        <f t="shared" si="83"/>
        <v>181.9</v>
      </c>
      <c r="AI353">
        <f t="shared" si="84"/>
        <v>182.3</v>
      </c>
      <c r="AJ353">
        <f t="shared" si="85"/>
        <v>167.5</v>
      </c>
      <c r="AK353">
        <f t="shared" si="86"/>
        <v>180.15</v>
      </c>
      <c r="AL353">
        <f t="shared" si="87"/>
        <v>170.8</v>
      </c>
      <c r="AM353">
        <f t="shared" si="88"/>
        <v>195.5</v>
      </c>
      <c r="AN353">
        <f t="shared" si="89"/>
        <v>175.05</v>
      </c>
      <c r="AO353">
        <f t="shared" si="90"/>
        <v>178.52222222222224</v>
      </c>
    </row>
    <row r="354" spans="1:41" hidden="1" x14ac:dyDescent="0.45">
      <c r="A354" t="s">
        <v>33</v>
      </c>
      <c r="B354">
        <v>2022</v>
      </c>
      <c r="C354" t="s">
        <v>45</v>
      </c>
      <c r="D354">
        <v>171.8</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180.3</v>
      </c>
      <c r="W354">
        <v>166.9</v>
      </c>
      <c r="X354">
        <v>175.8</v>
      </c>
      <c r="Y354">
        <v>158.9</v>
      </c>
      <c r="Z354">
        <v>166.7</v>
      </c>
      <c r="AA354">
        <v>171.5</v>
      </c>
      <c r="AB354">
        <v>173.8</v>
      </c>
      <c r="AC354">
        <v>167.4</v>
      </c>
      <c r="AD354">
        <v>174.1</v>
      </c>
      <c r="AE354">
        <f t="shared" si="80"/>
        <v>181.3</v>
      </c>
      <c r="AF354">
        <f t="shared" si="81"/>
        <v>171.8</v>
      </c>
      <c r="AG354">
        <f t="shared" si="82"/>
        <v>171.5</v>
      </c>
      <c r="AH354">
        <f t="shared" si="83"/>
        <v>180.3</v>
      </c>
      <c r="AI354">
        <f t="shared" si="84"/>
        <v>175.8</v>
      </c>
      <c r="AJ354">
        <f t="shared" si="85"/>
        <v>158.9</v>
      </c>
      <c r="AK354">
        <f t="shared" si="86"/>
        <v>174.25</v>
      </c>
      <c r="AL354">
        <f t="shared" si="87"/>
        <v>166.7</v>
      </c>
      <c r="AM354">
        <f t="shared" si="88"/>
        <v>200.6</v>
      </c>
      <c r="AN354">
        <f t="shared" si="89"/>
        <v>167.15</v>
      </c>
      <c r="AO354">
        <f t="shared" si="90"/>
        <v>174.83</v>
      </c>
    </row>
    <row r="355" spans="1:41" hidden="1" x14ac:dyDescent="0.45">
      <c r="A355" t="s">
        <v>34</v>
      </c>
      <c r="B355">
        <v>2022</v>
      </c>
      <c r="C355" t="s">
        <v>45</v>
      </c>
      <c r="D355">
        <v>171.8</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181.3</v>
      </c>
      <c r="W355">
        <v>171.4</v>
      </c>
      <c r="X355">
        <v>179.8</v>
      </c>
      <c r="Y355">
        <v>163</v>
      </c>
      <c r="Z355">
        <v>168.5</v>
      </c>
      <c r="AA355">
        <v>173.7</v>
      </c>
      <c r="AB355">
        <v>173.6</v>
      </c>
      <c r="AC355">
        <v>171.1</v>
      </c>
      <c r="AD355">
        <v>176.5</v>
      </c>
      <c r="AE355">
        <f t="shared" si="80"/>
        <v>178.3</v>
      </c>
      <c r="AF355">
        <f t="shared" si="81"/>
        <v>171.8</v>
      </c>
      <c r="AG355">
        <f t="shared" si="82"/>
        <v>173.7</v>
      </c>
      <c r="AH355">
        <f t="shared" si="83"/>
        <v>181.3</v>
      </c>
      <c r="AI355">
        <f t="shared" si="84"/>
        <v>179.8</v>
      </c>
      <c r="AJ355">
        <f t="shared" si="85"/>
        <v>163</v>
      </c>
      <c r="AK355">
        <f t="shared" si="86"/>
        <v>177.85</v>
      </c>
      <c r="AL355">
        <f t="shared" si="87"/>
        <v>168.5</v>
      </c>
      <c r="AM355">
        <f t="shared" si="88"/>
        <v>196.9</v>
      </c>
      <c r="AN355">
        <f t="shared" si="89"/>
        <v>171.25</v>
      </c>
      <c r="AO355">
        <f t="shared" si="90"/>
        <v>176.23999999999998</v>
      </c>
    </row>
    <row r="356" spans="1:41" hidden="1" x14ac:dyDescent="0.45">
      <c r="A356" t="s">
        <v>30</v>
      </c>
      <c r="B356">
        <v>2022</v>
      </c>
      <c r="C356" t="s">
        <v>46</v>
      </c>
      <c r="D356" t="s">
        <v>32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v>182.8</v>
      </c>
      <c r="W356">
        <v>176.4</v>
      </c>
      <c r="X356">
        <v>183.5</v>
      </c>
      <c r="Y356">
        <v>167.8</v>
      </c>
      <c r="Z356">
        <v>171.2</v>
      </c>
      <c r="AA356">
        <v>177.3</v>
      </c>
      <c r="AB356">
        <v>175.7</v>
      </c>
      <c r="AC356">
        <v>175.5</v>
      </c>
      <c r="AD356">
        <v>177.1</v>
      </c>
      <c r="AE356">
        <f t="shared" si="80"/>
        <v>174.4</v>
      </c>
      <c r="AF356" t="str">
        <f t="shared" si="81"/>
        <v>NA</v>
      </c>
      <c r="AG356">
        <f t="shared" si="82"/>
        <v>177.3</v>
      </c>
      <c r="AH356">
        <f t="shared" si="83"/>
        <v>182.8</v>
      </c>
      <c r="AI356">
        <f t="shared" si="84"/>
        <v>183.5</v>
      </c>
      <c r="AJ356">
        <f t="shared" si="85"/>
        <v>167.8</v>
      </c>
      <c r="AK356">
        <f t="shared" si="86"/>
        <v>181.75</v>
      </c>
      <c r="AL356">
        <f t="shared" si="87"/>
        <v>171.2</v>
      </c>
      <c r="AM356">
        <f t="shared" si="88"/>
        <v>195.9</v>
      </c>
      <c r="AN356">
        <f t="shared" si="89"/>
        <v>175.95</v>
      </c>
      <c r="AO356">
        <f t="shared" si="90"/>
        <v>178.95555555555558</v>
      </c>
    </row>
    <row r="357" spans="1:41" hidden="1" x14ac:dyDescent="0.45">
      <c r="A357" t="s">
        <v>33</v>
      </c>
      <c r="B357">
        <v>2022</v>
      </c>
      <c r="C357" t="s">
        <v>46</v>
      </c>
      <c r="D357">
        <v>170.7</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180.6</v>
      </c>
      <c r="W357">
        <v>167.3</v>
      </c>
      <c r="X357">
        <v>177.2</v>
      </c>
      <c r="Y357">
        <v>159.4</v>
      </c>
      <c r="Z357">
        <v>167.1</v>
      </c>
      <c r="AA357">
        <v>171.8</v>
      </c>
      <c r="AB357">
        <v>176</v>
      </c>
      <c r="AC357">
        <v>168.2</v>
      </c>
      <c r="AD357">
        <v>174.1</v>
      </c>
      <c r="AE357">
        <f t="shared" si="80"/>
        <v>178.6</v>
      </c>
      <c r="AF357">
        <f t="shared" si="81"/>
        <v>170.7</v>
      </c>
      <c r="AG357">
        <f t="shared" si="82"/>
        <v>171.8</v>
      </c>
      <c r="AH357">
        <f t="shared" si="83"/>
        <v>180.6</v>
      </c>
      <c r="AI357">
        <f t="shared" si="84"/>
        <v>177.2</v>
      </c>
      <c r="AJ357">
        <f t="shared" si="85"/>
        <v>159.4</v>
      </c>
      <c r="AK357">
        <f t="shared" si="86"/>
        <v>175.85</v>
      </c>
      <c r="AL357">
        <f t="shared" si="87"/>
        <v>167.1</v>
      </c>
      <c r="AM357">
        <f t="shared" si="88"/>
        <v>201.1</v>
      </c>
      <c r="AN357">
        <f t="shared" si="89"/>
        <v>167.75</v>
      </c>
      <c r="AO357">
        <f t="shared" si="90"/>
        <v>175.00999999999996</v>
      </c>
    </row>
    <row r="358" spans="1:41" hidden="1" x14ac:dyDescent="0.45">
      <c r="A358" t="s">
        <v>34</v>
      </c>
      <c r="B358">
        <v>2022</v>
      </c>
      <c r="C358" t="s">
        <v>46</v>
      </c>
      <c r="D358">
        <v>170.7</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182</v>
      </c>
      <c r="W358">
        <v>172.1</v>
      </c>
      <c r="X358">
        <v>181.1</v>
      </c>
      <c r="Y358">
        <v>163.4</v>
      </c>
      <c r="Z358">
        <v>168.9</v>
      </c>
      <c r="AA358">
        <v>174.1</v>
      </c>
      <c r="AB358">
        <v>175.8</v>
      </c>
      <c r="AC358">
        <v>172</v>
      </c>
      <c r="AD358">
        <v>175.7</v>
      </c>
      <c r="AE358">
        <f t="shared" si="80"/>
        <v>175.9</v>
      </c>
      <c r="AF358">
        <f t="shared" si="81"/>
        <v>170.7</v>
      </c>
      <c r="AG358">
        <f t="shared" si="82"/>
        <v>174.1</v>
      </c>
      <c r="AH358">
        <f t="shared" si="83"/>
        <v>182</v>
      </c>
      <c r="AI358">
        <f t="shared" si="84"/>
        <v>181.1</v>
      </c>
      <c r="AJ358">
        <f t="shared" si="85"/>
        <v>163.4</v>
      </c>
      <c r="AK358">
        <f t="shared" si="86"/>
        <v>179.4</v>
      </c>
      <c r="AL358">
        <f t="shared" si="87"/>
        <v>168.9</v>
      </c>
      <c r="AM358">
        <f t="shared" si="88"/>
        <v>197.3</v>
      </c>
      <c r="AN358">
        <f t="shared" si="89"/>
        <v>172.05</v>
      </c>
      <c r="AO358">
        <f t="shared" si="90"/>
        <v>176.48500000000001</v>
      </c>
    </row>
    <row r="359" spans="1:41" hidden="1" x14ac:dyDescent="0.45">
      <c r="A359" t="s">
        <v>30</v>
      </c>
      <c r="B359">
        <v>2023</v>
      </c>
      <c r="C359" t="s">
        <v>31</v>
      </c>
      <c r="D359" t="s">
        <v>32</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v>183.2</v>
      </c>
      <c r="W359">
        <v>177.2</v>
      </c>
      <c r="X359">
        <v>184.7</v>
      </c>
      <c r="Y359">
        <v>168.2</v>
      </c>
      <c r="Z359">
        <v>171.8</v>
      </c>
      <c r="AA359">
        <v>177.8</v>
      </c>
      <c r="AB359">
        <v>178.4</v>
      </c>
      <c r="AC359">
        <v>176.5</v>
      </c>
      <c r="AD359">
        <v>177.8</v>
      </c>
      <c r="AE359">
        <f t="shared" si="80"/>
        <v>175</v>
      </c>
      <c r="AF359" t="str">
        <f t="shared" si="81"/>
        <v>NA</v>
      </c>
      <c r="AG359">
        <f t="shared" si="82"/>
        <v>177.8</v>
      </c>
      <c r="AH359">
        <f t="shared" si="83"/>
        <v>183.2</v>
      </c>
      <c r="AI359">
        <f t="shared" si="84"/>
        <v>184.7</v>
      </c>
      <c r="AJ359">
        <f t="shared" si="85"/>
        <v>168.2</v>
      </c>
      <c r="AK359">
        <f t="shared" si="86"/>
        <v>183.5</v>
      </c>
      <c r="AL359">
        <f t="shared" si="87"/>
        <v>171.8</v>
      </c>
      <c r="AM359">
        <f t="shared" si="88"/>
        <v>196.9</v>
      </c>
      <c r="AN359">
        <f t="shared" si="89"/>
        <v>176.85</v>
      </c>
      <c r="AO359">
        <f t="shared" si="90"/>
        <v>179.77222222222224</v>
      </c>
    </row>
    <row r="360" spans="1:41" hidden="1" x14ac:dyDescent="0.45">
      <c r="A360" t="s">
        <v>33</v>
      </c>
      <c r="B360">
        <v>2023</v>
      </c>
      <c r="C360" t="s">
        <v>31</v>
      </c>
      <c r="D360">
        <v>172.1</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180.1</v>
      </c>
      <c r="W360">
        <v>168</v>
      </c>
      <c r="X360">
        <v>178.5</v>
      </c>
      <c r="Y360">
        <v>159.5</v>
      </c>
      <c r="Z360">
        <v>167.8</v>
      </c>
      <c r="AA360">
        <v>171.8</v>
      </c>
      <c r="AB360">
        <v>178.8</v>
      </c>
      <c r="AC360">
        <v>168.9</v>
      </c>
      <c r="AD360">
        <v>174.9</v>
      </c>
      <c r="AE360">
        <f t="shared" si="80"/>
        <v>179.5</v>
      </c>
      <c r="AF360">
        <f t="shared" si="81"/>
        <v>172.1</v>
      </c>
      <c r="AG360">
        <f t="shared" si="82"/>
        <v>171.8</v>
      </c>
      <c r="AH360">
        <f t="shared" si="83"/>
        <v>180.1</v>
      </c>
      <c r="AI360">
        <f t="shared" si="84"/>
        <v>178.5</v>
      </c>
      <c r="AJ360">
        <f t="shared" si="85"/>
        <v>159.5</v>
      </c>
      <c r="AK360">
        <f t="shared" si="86"/>
        <v>177.7</v>
      </c>
      <c r="AL360">
        <f t="shared" si="87"/>
        <v>167.8</v>
      </c>
      <c r="AM360">
        <f t="shared" si="88"/>
        <v>201.6</v>
      </c>
      <c r="AN360">
        <f t="shared" si="89"/>
        <v>168.45</v>
      </c>
      <c r="AO360">
        <f t="shared" si="90"/>
        <v>175.70499999999998</v>
      </c>
    </row>
    <row r="361" spans="1:41" hidden="1" x14ac:dyDescent="0.45">
      <c r="A361" t="s">
        <v>34</v>
      </c>
      <c r="B361">
        <v>2023</v>
      </c>
      <c r="C361" t="s">
        <v>31</v>
      </c>
      <c r="D361">
        <v>172.1</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182</v>
      </c>
      <c r="W361">
        <v>172.9</v>
      </c>
      <c r="X361">
        <v>182.3</v>
      </c>
      <c r="Y361">
        <v>163.6</v>
      </c>
      <c r="Z361">
        <v>169.5</v>
      </c>
      <c r="AA361">
        <v>174.3</v>
      </c>
      <c r="AB361">
        <v>178.6</v>
      </c>
      <c r="AC361">
        <v>172.8</v>
      </c>
      <c r="AD361">
        <v>176.5</v>
      </c>
      <c r="AE361">
        <f t="shared" si="80"/>
        <v>176.7</v>
      </c>
      <c r="AF361">
        <f t="shared" si="81"/>
        <v>172.1</v>
      </c>
      <c r="AG361">
        <f t="shared" si="82"/>
        <v>174.3</v>
      </c>
      <c r="AH361">
        <f t="shared" si="83"/>
        <v>182</v>
      </c>
      <c r="AI361">
        <f t="shared" si="84"/>
        <v>182.3</v>
      </c>
      <c r="AJ361">
        <f t="shared" si="85"/>
        <v>163.6</v>
      </c>
      <c r="AK361">
        <f t="shared" si="86"/>
        <v>181.2</v>
      </c>
      <c r="AL361">
        <f t="shared" si="87"/>
        <v>169.5</v>
      </c>
      <c r="AM361">
        <f t="shared" si="88"/>
        <v>198.2</v>
      </c>
      <c r="AN361">
        <f t="shared" si="89"/>
        <v>172.85000000000002</v>
      </c>
      <c r="AO361">
        <f t="shared" si="90"/>
        <v>177.27500000000001</v>
      </c>
    </row>
    <row r="362" spans="1:41" hidden="1" x14ac:dyDescent="0.45">
      <c r="A362" t="s">
        <v>30</v>
      </c>
      <c r="B362">
        <v>2023</v>
      </c>
      <c r="C362" t="s">
        <v>35</v>
      </c>
      <c r="D362" t="s">
        <v>32</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v>181.6</v>
      </c>
      <c r="W362">
        <v>178.6</v>
      </c>
      <c r="X362">
        <v>186.6</v>
      </c>
      <c r="Y362">
        <v>169</v>
      </c>
      <c r="Z362">
        <v>172.8</v>
      </c>
      <c r="AA362">
        <v>178.5</v>
      </c>
      <c r="AB362">
        <v>180.7</v>
      </c>
      <c r="AC362">
        <v>177.9</v>
      </c>
      <c r="AD362">
        <v>178</v>
      </c>
      <c r="AE362">
        <f t="shared" si="80"/>
        <v>174.8</v>
      </c>
      <c r="AF362" t="str">
        <f t="shared" si="81"/>
        <v>NA</v>
      </c>
      <c r="AG362">
        <f t="shared" si="82"/>
        <v>178.5</v>
      </c>
      <c r="AH362">
        <f t="shared" si="83"/>
        <v>181.6</v>
      </c>
      <c r="AI362">
        <f t="shared" si="84"/>
        <v>186.6</v>
      </c>
      <c r="AJ362">
        <f t="shared" si="85"/>
        <v>169</v>
      </c>
      <c r="AK362">
        <f t="shared" si="86"/>
        <v>185.14999999999998</v>
      </c>
      <c r="AL362">
        <f t="shared" si="87"/>
        <v>172.8</v>
      </c>
      <c r="AM362">
        <f t="shared" si="88"/>
        <v>198.3</v>
      </c>
      <c r="AN362">
        <f t="shared" si="89"/>
        <v>178.25</v>
      </c>
      <c r="AO362">
        <f t="shared" si="90"/>
        <v>180.55555555555554</v>
      </c>
    </row>
    <row r="363" spans="1:41" hidden="1" x14ac:dyDescent="0.45">
      <c r="A363" t="s">
        <v>33</v>
      </c>
      <c r="B363">
        <v>2023</v>
      </c>
      <c r="C363" t="s">
        <v>35</v>
      </c>
      <c r="D363">
        <v>173.5</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182.8</v>
      </c>
      <c r="W363">
        <v>169.2</v>
      </c>
      <c r="X363">
        <v>180.8</v>
      </c>
      <c r="Y363">
        <v>159.80000000000001</v>
      </c>
      <c r="Z363">
        <v>168.4</v>
      </c>
      <c r="AA363">
        <v>172.5</v>
      </c>
      <c r="AB363">
        <v>181.4</v>
      </c>
      <c r="AC363">
        <v>170</v>
      </c>
      <c r="AD363">
        <v>176.3</v>
      </c>
      <c r="AE363">
        <f t="shared" si="80"/>
        <v>180.7</v>
      </c>
      <c r="AF363">
        <f t="shared" si="81"/>
        <v>173.5</v>
      </c>
      <c r="AG363">
        <f t="shared" si="82"/>
        <v>172.5</v>
      </c>
      <c r="AH363">
        <f t="shared" si="83"/>
        <v>182.8</v>
      </c>
      <c r="AI363">
        <f t="shared" si="84"/>
        <v>180.8</v>
      </c>
      <c r="AJ363">
        <f t="shared" si="85"/>
        <v>159.80000000000001</v>
      </c>
      <c r="AK363">
        <f t="shared" si="86"/>
        <v>179.8</v>
      </c>
      <c r="AL363">
        <f t="shared" si="87"/>
        <v>168.4</v>
      </c>
      <c r="AM363">
        <f t="shared" si="88"/>
        <v>202.7</v>
      </c>
      <c r="AN363">
        <f t="shared" si="89"/>
        <v>169.6</v>
      </c>
      <c r="AO363">
        <f t="shared" si="90"/>
        <v>177.06</v>
      </c>
    </row>
    <row r="364" spans="1:41" hidden="1" x14ac:dyDescent="0.45">
      <c r="A364" t="s">
        <v>34</v>
      </c>
      <c r="B364">
        <v>2023</v>
      </c>
      <c r="C364" t="s">
        <v>35</v>
      </c>
      <c r="D364">
        <v>173.5</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182.1</v>
      </c>
      <c r="W364">
        <v>174.2</v>
      </c>
      <c r="X364">
        <v>184.4</v>
      </c>
      <c r="Y364">
        <v>164.2</v>
      </c>
      <c r="Z364">
        <v>170.3</v>
      </c>
      <c r="AA364">
        <v>175</v>
      </c>
      <c r="AB364">
        <v>181</v>
      </c>
      <c r="AC364">
        <v>174.1</v>
      </c>
      <c r="AD364">
        <v>177.2</v>
      </c>
      <c r="AE364">
        <f t="shared" si="80"/>
        <v>177</v>
      </c>
      <c r="AF364">
        <f t="shared" si="81"/>
        <v>173.5</v>
      </c>
      <c r="AG364">
        <f t="shared" si="82"/>
        <v>175</v>
      </c>
      <c r="AH364">
        <f t="shared" si="83"/>
        <v>182.1</v>
      </c>
      <c r="AI364">
        <f t="shared" si="84"/>
        <v>184.4</v>
      </c>
      <c r="AJ364">
        <f t="shared" si="85"/>
        <v>164.2</v>
      </c>
      <c r="AK364">
        <f t="shared" si="86"/>
        <v>183.05</v>
      </c>
      <c r="AL364">
        <f t="shared" si="87"/>
        <v>170.3</v>
      </c>
      <c r="AM364">
        <f t="shared" si="88"/>
        <v>199.5</v>
      </c>
      <c r="AN364">
        <f t="shared" si="89"/>
        <v>174.14999999999998</v>
      </c>
      <c r="AO364">
        <f t="shared" si="90"/>
        <v>178.32</v>
      </c>
    </row>
    <row r="365" spans="1:41" hidden="1" x14ac:dyDescent="0.45">
      <c r="A365" t="s">
        <v>30</v>
      </c>
      <c r="B365">
        <v>2023</v>
      </c>
      <c r="C365" t="s">
        <v>36</v>
      </c>
      <c r="D365" t="s">
        <v>32</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v>181.4</v>
      </c>
      <c r="W365">
        <v>178.6</v>
      </c>
      <c r="X365">
        <v>186.6</v>
      </c>
      <c r="Y365">
        <v>169</v>
      </c>
      <c r="Z365">
        <v>172.8</v>
      </c>
      <c r="AA365">
        <v>178.5</v>
      </c>
      <c r="AB365">
        <v>180.7</v>
      </c>
      <c r="AC365">
        <v>177.9</v>
      </c>
      <c r="AD365">
        <v>178</v>
      </c>
      <c r="AE365">
        <f t="shared" si="80"/>
        <v>174.8</v>
      </c>
      <c r="AF365" t="str">
        <f t="shared" si="81"/>
        <v>NA</v>
      </c>
      <c r="AG365">
        <f t="shared" si="82"/>
        <v>178.5</v>
      </c>
      <c r="AH365">
        <f t="shared" si="83"/>
        <v>181.4</v>
      </c>
      <c r="AI365">
        <f t="shared" si="84"/>
        <v>186.6</v>
      </c>
      <c r="AJ365">
        <f t="shared" si="85"/>
        <v>169</v>
      </c>
      <c r="AK365">
        <f t="shared" si="86"/>
        <v>185.14999999999998</v>
      </c>
      <c r="AL365">
        <f t="shared" si="87"/>
        <v>172.8</v>
      </c>
      <c r="AM365">
        <f t="shared" si="88"/>
        <v>198.4</v>
      </c>
      <c r="AN365">
        <f t="shared" si="89"/>
        <v>178.25</v>
      </c>
      <c r="AO365">
        <f t="shared" si="90"/>
        <v>180.54444444444445</v>
      </c>
    </row>
    <row r="366" spans="1:41" hidden="1" x14ac:dyDescent="0.45">
      <c r="A366" t="s">
        <v>33</v>
      </c>
      <c r="B366">
        <v>2023</v>
      </c>
      <c r="C366" t="s">
        <v>36</v>
      </c>
      <c r="D366">
        <v>173.5</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182.6</v>
      </c>
      <c r="W366">
        <v>169.2</v>
      </c>
      <c r="X366">
        <v>180.8</v>
      </c>
      <c r="Y366">
        <v>159.80000000000001</v>
      </c>
      <c r="Z366">
        <v>168.4</v>
      </c>
      <c r="AA366">
        <v>172.5</v>
      </c>
      <c r="AB366">
        <v>181.5</v>
      </c>
      <c r="AC366">
        <v>170</v>
      </c>
      <c r="AD366">
        <v>176.3</v>
      </c>
      <c r="AE366">
        <f t="shared" si="80"/>
        <v>180.8</v>
      </c>
      <c r="AF366">
        <f t="shared" si="81"/>
        <v>173.5</v>
      </c>
      <c r="AG366">
        <f t="shared" si="82"/>
        <v>172.5</v>
      </c>
      <c r="AH366">
        <f t="shared" si="83"/>
        <v>182.6</v>
      </c>
      <c r="AI366">
        <f t="shared" si="84"/>
        <v>180.8</v>
      </c>
      <c r="AJ366">
        <f t="shared" si="85"/>
        <v>159.80000000000001</v>
      </c>
      <c r="AK366">
        <f t="shared" si="86"/>
        <v>179.85</v>
      </c>
      <c r="AL366">
        <f t="shared" si="87"/>
        <v>168.4</v>
      </c>
      <c r="AM366">
        <f t="shared" si="88"/>
        <v>202.7</v>
      </c>
      <c r="AN366">
        <f t="shared" si="89"/>
        <v>169.6</v>
      </c>
      <c r="AO366">
        <f t="shared" si="90"/>
        <v>177.05500000000001</v>
      </c>
    </row>
    <row r="367" spans="1:41" hidden="1" x14ac:dyDescent="0.45">
      <c r="A367" t="s">
        <v>34</v>
      </c>
      <c r="B367">
        <v>2023</v>
      </c>
      <c r="C367" t="s">
        <v>36</v>
      </c>
      <c r="D367">
        <v>173.5</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181.9</v>
      </c>
      <c r="W367">
        <v>174.2</v>
      </c>
      <c r="X367">
        <v>184.4</v>
      </c>
      <c r="Y367">
        <v>164.2</v>
      </c>
      <c r="Z367">
        <v>170.3</v>
      </c>
      <c r="AA367">
        <v>175</v>
      </c>
      <c r="AB367">
        <v>181</v>
      </c>
      <c r="AC367">
        <v>174.1</v>
      </c>
      <c r="AD367">
        <v>177.2</v>
      </c>
      <c r="AE367">
        <f t="shared" si="80"/>
        <v>177</v>
      </c>
      <c r="AF367">
        <f t="shared" si="81"/>
        <v>173.5</v>
      </c>
      <c r="AG367">
        <f t="shared" si="82"/>
        <v>175</v>
      </c>
      <c r="AH367">
        <f t="shared" si="83"/>
        <v>181.9</v>
      </c>
      <c r="AI367">
        <f t="shared" si="84"/>
        <v>184.4</v>
      </c>
      <c r="AJ367">
        <f t="shared" si="85"/>
        <v>164.2</v>
      </c>
      <c r="AK367">
        <f t="shared" si="86"/>
        <v>183.05</v>
      </c>
      <c r="AL367">
        <f t="shared" si="87"/>
        <v>170.3</v>
      </c>
      <c r="AM367">
        <f t="shared" si="88"/>
        <v>199.5</v>
      </c>
      <c r="AN367">
        <f t="shared" si="89"/>
        <v>174.14999999999998</v>
      </c>
      <c r="AO367">
        <f t="shared" si="90"/>
        <v>178.3</v>
      </c>
    </row>
    <row r="368" spans="1:41" hidden="1" x14ac:dyDescent="0.45">
      <c r="A368" t="s">
        <v>30</v>
      </c>
      <c r="B368">
        <v>2023</v>
      </c>
      <c r="C368" t="s">
        <v>37</v>
      </c>
      <c r="D368" t="s">
        <v>48</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v>181.5</v>
      </c>
      <c r="W368">
        <v>179.1</v>
      </c>
      <c r="X368">
        <v>187.2</v>
      </c>
      <c r="Y368">
        <v>169.4</v>
      </c>
      <c r="Z368">
        <v>173.2</v>
      </c>
      <c r="AA368">
        <v>179.4</v>
      </c>
      <c r="AB368">
        <v>183.8</v>
      </c>
      <c r="AC368">
        <v>178.9</v>
      </c>
      <c r="AD368">
        <v>178.8</v>
      </c>
      <c r="AE368">
        <f t="shared" si="80"/>
        <v>175.5</v>
      </c>
      <c r="AF368" t="str">
        <f t="shared" si="81"/>
        <v>-</v>
      </c>
      <c r="AG368">
        <f t="shared" si="82"/>
        <v>179.4</v>
      </c>
      <c r="AH368">
        <f t="shared" si="83"/>
        <v>181.5</v>
      </c>
      <c r="AI368">
        <f t="shared" si="84"/>
        <v>187.2</v>
      </c>
      <c r="AJ368">
        <f t="shared" si="85"/>
        <v>169.4</v>
      </c>
      <c r="AK368">
        <f t="shared" si="86"/>
        <v>187</v>
      </c>
      <c r="AL368">
        <f t="shared" si="87"/>
        <v>173.2</v>
      </c>
      <c r="AM368">
        <f t="shared" si="88"/>
        <v>199.5</v>
      </c>
      <c r="AN368">
        <f t="shared" si="89"/>
        <v>179</v>
      </c>
      <c r="AO368">
        <f t="shared" si="90"/>
        <v>181.3</v>
      </c>
    </row>
    <row r="369" spans="1:42" hidden="1" x14ac:dyDescent="0.45">
      <c r="A369" t="s">
        <v>33</v>
      </c>
      <c r="B369">
        <v>2023</v>
      </c>
      <c r="C369" t="s">
        <v>37</v>
      </c>
      <c r="D369">
        <v>175.2</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182.1</v>
      </c>
      <c r="W369">
        <v>169.6</v>
      </c>
      <c r="X369">
        <v>181.5</v>
      </c>
      <c r="Y369">
        <v>160.1</v>
      </c>
      <c r="Z369">
        <v>168.8</v>
      </c>
      <c r="AA369">
        <v>174.2</v>
      </c>
      <c r="AB369">
        <v>184.4</v>
      </c>
      <c r="AC369">
        <v>170.9</v>
      </c>
      <c r="AD369">
        <v>177.4</v>
      </c>
      <c r="AE369">
        <f t="shared" si="80"/>
        <v>182.1</v>
      </c>
      <c r="AF369">
        <f t="shared" si="81"/>
        <v>175.2</v>
      </c>
      <c r="AG369">
        <f t="shared" si="82"/>
        <v>174.2</v>
      </c>
      <c r="AH369">
        <f t="shared" si="83"/>
        <v>182.1</v>
      </c>
      <c r="AI369">
        <f t="shared" si="84"/>
        <v>181.5</v>
      </c>
      <c r="AJ369">
        <f t="shared" si="85"/>
        <v>160.1</v>
      </c>
      <c r="AK369">
        <f t="shared" si="86"/>
        <v>181.65</v>
      </c>
      <c r="AL369">
        <f t="shared" si="87"/>
        <v>168.8</v>
      </c>
      <c r="AM369">
        <f t="shared" si="88"/>
        <v>203.5</v>
      </c>
      <c r="AN369">
        <f t="shared" si="89"/>
        <v>170.25</v>
      </c>
      <c r="AO369">
        <f t="shared" si="90"/>
        <v>177.94</v>
      </c>
    </row>
    <row r="370" spans="1:42" hidden="1" x14ac:dyDescent="0.45">
      <c r="A370" t="s">
        <v>34</v>
      </c>
      <c r="B370">
        <v>2023</v>
      </c>
      <c r="C370" t="s">
        <v>37</v>
      </c>
      <c r="D370">
        <v>175.2</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181.7</v>
      </c>
      <c r="W370">
        <v>174.6</v>
      </c>
      <c r="X370">
        <v>185</v>
      </c>
      <c r="Y370">
        <v>164.5</v>
      </c>
      <c r="Z370">
        <v>170.7</v>
      </c>
      <c r="AA370">
        <v>176.4</v>
      </c>
      <c r="AB370">
        <v>184</v>
      </c>
      <c r="AC370">
        <v>175</v>
      </c>
      <c r="AD370">
        <v>178.1</v>
      </c>
      <c r="AE370">
        <f t="shared" si="80"/>
        <v>177.9</v>
      </c>
      <c r="AF370">
        <f t="shared" si="81"/>
        <v>175.2</v>
      </c>
      <c r="AG370">
        <f t="shared" si="82"/>
        <v>176.4</v>
      </c>
      <c r="AH370">
        <f t="shared" si="83"/>
        <v>181.7</v>
      </c>
      <c r="AI370">
        <f t="shared" si="84"/>
        <v>185</v>
      </c>
      <c r="AJ370">
        <f t="shared" si="85"/>
        <v>164.5</v>
      </c>
      <c r="AK370">
        <f t="shared" si="86"/>
        <v>184.85</v>
      </c>
      <c r="AL370">
        <f t="shared" si="87"/>
        <v>170.7</v>
      </c>
      <c r="AM370">
        <f t="shared" si="88"/>
        <v>200.6</v>
      </c>
      <c r="AN370">
        <f t="shared" si="89"/>
        <v>174.8</v>
      </c>
      <c r="AO370">
        <f t="shared" si="90"/>
        <v>179.16499999999999</v>
      </c>
    </row>
    <row r="371" spans="1:42" x14ac:dyDescent="0.45">
      <c r="A371" t="s">
        <v>30</v>
      </c>
      <c r="B371">
        <v>2023</v>
      </c>
      <c r="C371" t="s">
        <v>38</v>
      </c>
      <c r="D371" t="s">
        <v>48</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v>182.5</v>
      </c>
      <c r="W371">
        <v>179.8</v>
      </c>
      <c r="X371">
        <v>187.8</v>
      </c>
      <c r="Y371">
        <v>169.7</v>
      </c>
      <c r="Z371">
        <v>173.8</v>
      </c>
      <c r="AA371">
        <v>180.3</v>
      </c>
      <c r="AB371">
        <v>184.9</v>
      </c>
      <c r="AC371">
        <v>179.5</v>
      </c>
      <c r="AD371">
        <v>179.8</v>
      </c>
      <c r="AE371">
        <f t="shared" si="80"/>
        <v>176.8</v>
      </c>
      <c r="AF371" t="str">
        <f t="shared" si="81"/>
        <v>-</v>
      </c>
      <c r="AG371">
        <f t="shared" si="82"/>
        <v>180.3</v>
      </c>
      <c r="AH371">
        <f t="shared" si="83"/>
        <v>182.5</v>
      </c>
      <c r="AI371">
        <f t="shared" si="84"/>
        <v>187.8</v>
      </c>
      <c r="AJ371">
        <f t="shared" si="85"/>
        <v>169.7</v>
      </c>
      <c r="AK371">
        <f t="shared" si="86"/>
        <v>187.85000000000002</v>
      </c>
      <c r="AL371">
        <f t="shared" si="87"/>
        <v>173.8</v>
      </c>
      <c r="AM371">
        <f t="shared" si="88"/>
        <v>199.9</v>
      </c>
      <c r="AN371">
        <f t="shared" si="89"/>
        <v>179.65</v>
      </c>
      <c r="AO371">
        <f t="shared" si="90"/>
        <v>182.03333333333339</v>
      </c>
    </row>
    <row r="372" spans="1:42" x14ac:dyDescent="0.45">
      <c r="A372" t="s">
        <v>33</v>
      </c>
      <c r="B372">
        <v>2023</v>
      </c>
      <c r="C372" t="s">
        <v>38</v>
      </c>
      <c r="D372">
        <v>175.6</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183.4</v>
      </c>
      <c r="W372">
        <v>170.1</v>
      </c>
      <c r="X372">
        <v>182.2</v>
      </c>
      <c r="Y372">
        <v>160.4</v>
      </c>
      <c r="Z372">
        <v>169.2</v>
      </c>
      <c r="AA372">
        <v>174.8</v>
      </c>
      <c r="AB372">
        <v>185.6</v>
      </c>
      <c r="AC372">
        <v>171.6</v>
      </c>
      <c r="AD372">
        <v>178.2</v>
      </c>
      <c r="AE372">
        <f t="shared" si="80"/>
        <v>183.1</v>
      </c>
      <c r="AF372">
        <f t="shared" si="81"/>
        <v>175.6</v>
      </c>
      <c r="AG372">
        <f t="shared" si="82"/>
        <v>174.8</v>
      </c>
      <c r="AH372">
        <f t="shared" si="83"/>
        <v>183.4</v>
      </c>
      <c r="AI372">
        <f t="shared" si="84"/>
        <v>182.2</v>
      </c>
      <c r="AJ372">
        <f t="shared" si="85"/>
        <v>160.4</v>
      </c>
      <c r="AK372">
        <f t="shared" si="86"/>
        <v>182.45</v>
      </c>
      <c r="AL372">
        <f t="shared" si="87"/>
        <v>169.2</v>
      </c>
      <c r="AM372">
        <f t="shared" si="88"/>
        <v>204.2</v>
      </c>
      <c r="AN372">
        <f t="shared" si="89"/>
        <v>170.85</v>
      </c>
      <c r="AO372">
        <f t="shared" si="90"/>
        <v>178.62</v>
      </c>
    </row>
    <row r="373" spans="1:42" x14ac:dyDescent="0.45">
      <c r="A373" t="s">
        <v>34</v>
      </c>
      <c r="B373">
        <v>2023</v>
      </c>
      <c r="C373" t="s">
        <v>38</v>
      </c>
      <c r="D373">
        <v>175.6</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182.8</v>
      </c>
      <c r="W373">
        <v>175.2</v>
      </c>
      <c r="X373">
        <v>185.7</v>
      </c>
      <c r="Y373">
        <v>164.8</v>
      </c>
      <c r="Z373">
        <v>171.2</v>
      </c>
      <c r="AA373">
        <v>177.1</v>
      </c>
      <c r="AB373">
        <v>185.2</v>
      </c>
      <c r="AC373">
        <v>175.7</v>
      </c>
      <c r="AD373">
        <v>179.1</v>
      </c>
      <c r="AE373">
        <f t="shared" si="80"/>
        <v>179.1</v>
      </c>
      <c r="AF373">
        <f t="shared" si="81"/>
        <v>175.6</v>
      </c>
      <c r="AG373">
        <f t="shared" si="82"/>
        <v>177.1</v>
      </c>
      <c r="AH373">
        <f t="shared" si="83"/>
        <v>182.8</v>
      </c>
      <c r="AI373">
        <f t="shared" si="84"/>
        <v>185.7</v>
      </c>
      <c r="AJ373">
        <f t="shared" si="85"/>
        <v>164.8</v>
      </c>
      <c r="AK373">
        <f t="shared" si="86"/>
        <v>185.7</v>
      </c>
      <c r="AL373">
        <f t="shared" si="87"/>
        <v>171.2</v>
      </c>
      <c r="AM373">
        <f t="shared" si="88"/>
        <v>201</v>
      </c>
      <c r="AN373">
        <f t="shared" si="89"/>
        <v>175.45</v>
      </c>
      <c r="AO373">
        <f t="shared" si="90"/>
        <v>179.845</v>
      </c>
    </row>
    <row r="375" spans="1:42" ht="28.5" x14ac:dyDescent="0.45">
      <c r="AD375" s="41" t="s">
        <v>62</v>
      </c>
      <c r="AE375" s="42" t="s">
        <v>49</v>
      </c>
      <c r="AF375" s="42" t="s">
        <v>20</v>
      </c>
      <c r="AG375" s="42" t="s">
        <v>26</v>
      </c>
      <c r="AH375" s="42" t="s">
        <v>50</v>
      </c>
      <c r="AI375" s="42" t="s">
        <v>23</v>
      </c>
      <c r="AJ375" s="42" t="s">
        <v>55</v>
      </c>
      <c r="AK375" s="42" t="s">
        <v>51</v>
      </c>
      <c r="AL375" s="42" t="s">
        <v>52</v>
      </c>
      <c r="AM375" s="42" t="s">
        <v>53</v>
      </c>
      <c r="AN375" s="42" t="s">
        <v>54</v>
      </c>
      <c r="AP375" s="44" t="s">
        <v>61</v>
      </c>
    </row>
    <row r="376" spans="1:42" x14ac:dyDescent="0.45">
      <c r="AD376" s="42" t="s">
        <v>30</v>
      </c>
      <c r="AE376" s="40">
        <f>AE$371/SUM($AE$371:$AN$371)</f>
        <v>0.10791674296526886</v>
      </c>
      <c r="AF376" s="40" t="s">
        <v>48</v>
      </c>
      <c r="AG376" s="40">
        <f t="shared" ref="AG376:AN376" si="91">AG$371/SUM($AE$371:$AN$371)</f>
        <v>0.11005310382713787</v>
      </c>
      <c r="AH376" s="40">
        <f t="shared" si="91"/>
        <v>0.11139595922602695</v>
      </c>
      <c r="AI376" s="40">
        <f t="shared" si="91"/>
        <v>0.11463101995971432</v>
      </c>
      <c r="AJ376" s="40">
        <f t="shared" si="91"/>
        <v>0.10358298235976314</v>
      </c>
      <c r="AK376" s="40">
        <f t="shared" si="91"/>
        <v>0.11466153940059817</v>
      </c>
      <c r="AL376" s="40">
        <f t="shared" si="91"/>
        <v>0.10608557651223828</v>
      </c>
      <c r="AM376" s="43">
        <f t="shared" si="91"/>
        <v>0.12201672465360432</v>
      </c>
      <c r="AN376" s="40">
        <f t="shared" si="91"/>
        <v>0.10965635109564791</v>
      </c>
      <c r="AP376" s="15">
        <f>MAX(AE376:AN376)</f>
        <v>0.12201672465360432</v>
      </c>
    </row>
    <row r="377" spans="1:42" x14ac:dyDescent="0.45">
      <c r="AD377" s="42" t="s">
        <v>33</v>
      </c>
      <c r="AE377" s="40">
        <f>AE$372/SUM($AE$372:$AN$372)</f>
        <v>0.10250811779196058</v>
      </c>
      <c r="AF377" s="40">
        <f t="shared" ref="AF377:AN377" si="92">AF$372/SUM($AE$372:$AN$372)</f>
        <v>9.8309259881312283E-2</v>
      </c>
      <c r="AG377" s="40">
        <f t="shared" si="92"/>
        <v>9.7861381704176464E-2</v>
      </c>
      <c r="AH377" s="40">
        <f t="shared" si="92"/>
        <v>0.10267607210838652</v>
      </c>
      <c r="AI377" s="40">
        <f t="shared" si="92"/>
        <v>0.10200425484268279</v>
      </c>
      <c r="AJ377" s="40">
        <f t="shared" si="92"/>
        <v>8.9799574515731728E-2</v>
      </c>
      <c r="AK377" s="40">
        <f t="shared" si="92"/>
        <v>0.10214421677303773</v>
      </c>
      <c r="AL377" s="40">
        <f t="shared" si="92"/>
        <v>9.472623446422572E-2</v>
      </c>
      <c r="AM377" s="43">
        <f t="shared" si="92"/>
        <v>0.1143209047139178</v>
      </c>
      <c r="AN377" s="40">
        <f t="shared" si="92"/>
        <v>9.5649983204568356E-2</v>
      </c>
      <c r="AP377" s="15">
        <f>MAX(AE377:AN377)</f>
        <v>0.1143209047139178</v>
      </c>
    </row>
    <row r="378" spans="1:42" x14ac:dyDescent="0.45">
      <c r="AD378" s="42" t="s">
        <v>34</v>
      </c>
      <c r="AE378" s="40">
        <f>AE$373/SUM($AE$373:$AN$373)</f>
        <v>9.958575439962189E-2</v>
      </c>
      <c r="AF378" s="40">
        <f t="shared" ref="AF378:AN378" si="93">AF$373/SUM($AE$373:$AN$373)</f>
        <v>9.7639634129389197E-2</v>
      </c>
      <c r="AG378" s="40">
        <f t="shared" si="93"/>
        <v>9.8473685673774639E-2</v>
      </c>
      <c r="AH378" s="40">
        <f t="shared" si="93"/>
        <v>0.10164308154243933</v>
      </c>
      <c r="AI378" s="40">
        <f t="shared" si="93"/>
        <v>0.10325558119491783</v>
      </c>
      <c r="AJ378" s="40">
        <f t="shared" si="93"/>
        <v>9.163446300981401E-2</v>
      </c>
      <c r="AK378" s="40">
        <f t="shared" si="93"/>
        <v>0.10325558119491783</v>
      </c>
      <c r="AL378" s="40">
        <f t="shared" si="93"/>
        <v>9.5193082932525222E-2</v>
      </c>
      <c r="AM378" s="43">
        <f t="shared" si="93"/>
        <v>0.11176290694764936</v>
      </c>
      <c r="AN378" s="40">
        <f t="shared" si="93"/>
        <v>9.7556228974950643E-2</v>
      </c>
      <c r="AP378" s="15">
        <f t="shared" ref="AP378" si="94">MAX(AE378:AN378)</f>
        <v>0.11176290694764936</v>
      </c>
    </row>
    <row r="380" spans="1:42" ht="14.25" customHeight="1" x14ac:dyDescent="0.45">
      <c r="AD380" s="90" t="s">
        <v>82</v>
      </c>
      <c r="AE380" s="90"/>
      <c r="AF380" s="90"/>
      <c r="AG380" s="90"/>
      <c r="AH380" s="90"/>
      <c r="AI380" s="90"/>
      <c r="AJ380" s="90"/>
      <c r="AK380" s="90"/>
    </row>
  </sheetData>
  <autoFilter ref="A1:AO373" xr:uid="{C5671CB3-D74C-4A3B-B164-84B5210BADF0}">
    <filterColumn colId="1">
      <filters>
        <filter val="2023"/>
      </filters>
    </filterColumn>
    <filterColumn colId="2">
      <filters>
        <filter val="May"/>
      </filters>
    </filterColumn>
  </autoFilter>
  <mergeCells count="1">
    <mergeCell ref="AD380:AK380"/>
  </mergeCells>
  <conditionalFormatting sqref="D1:D1048576">
    <cfRule type="cellIs" dxfId="8" priority="8" operator="equal">
      <formula>"-"</formula>
    </cfRule>
    <cfRule type="cellIs" dxfId="7" priority="9" operator="equal">
      <formula>"NA"</formula>
    </cfRule>
  </conditionalFormatting>
  <conditionalFormatting sqref="E1:P1048576">
    <cfRule type="containsText" dxfId="6" priority="5" operator="containsText" text="NA">
      <formula>NOT(ISERROR(SEARCH("NA",E1)))</formula>
    </cfRule>
  </conditionalFormatting>
  <conditionalFormatting sqref="Q1:AC1048576">
    <cfRule type="cellIs" dxfId="5" priority="2" operator="equal">
      <formula>"NA"</formula>
    </cfRule>
  </conditionalFormatting>
  <conditionalFormatting sqref="AE375:AN375">
    <cfRule type="cellIs" dxfId="4" priority="1" operator="equal">
      <formula>"NA"</formula>
    </cfRule>
  </conditionalFormatting>
  <conditionalFormatting sqref="AE1:AO1">
    <cfRule type="cellIs" dxfId="3" priority="4" operator="equal">
      <formula>"NA"</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6F69-B7B5-422C-8B40-366A97D73FA7}">
  <dimension ref="A1:I30"/>
  <sheetViews>
    <sheetView showGridLines="0" topLeftCell="A14" workbookViewId="0">
      <selection activeCell="C31" sqref="C31"/>
    </sheetView>
  </sheetViews>
  <sheetFormatPr defaultRowHeight="14.25" x14ac:dyDescent="0.45"/>
  <cols>
    <col min="1" max="1" width="17.796875" bestFit="1" customWidth="1"/>
    <col min="2" max="2" width="14.73046875" bestFit="1" customWidth="1"/>
    <col min="3" max="3" width="6.73046875" bestFit="1" customWidth="1"/>
    <col min="4" max="4" width="9.86328125" bestFit="1" customWidth="1"/>
    <col min="5" max="5" width="17.53125" customWidth="1"/>
    <col min="6" max="6" width="17.796875" bestFit="1" customWidth="1"/>
    <col min="7" max="7" width="16.796875" customWidth="1"/>
    <col min="8" max="8" width="9.06640625" bestFit="1" customWidth="1"/>
    <col min="9" max="9" width="15.6640625" customWidth="1"/>
    <col min="10" max="10" width="9.59765625" bestFit="1" customWidth="1"/>
    <col min="11" max="11" width="7.19921875" bestFit="1" customWidth="1"/>
    <col min="12" max="13" width="9.06640625" bestFit="1" customWidth="1"/>
    <col min="14" max="14" width="9.86328125" bestFit="1" customWidth="1"/>
  </cols>
  <sheetData>
    <row r="1" spans="1:9" x14ac:dyDescent="0.45">
      <c r="A1" s="2" t="s">
        <v>0</v>
      </c>
      <c r="B1" t="s">
        <v>34</v>
      </c>
      <c r="F1" s="4" t="s">
        <v>74</v>
      </c>
      <c r="G1" s="4" t="s">
        <v>59</v>
      </c>
      <c r="H1" s="4"/>
      <c r="I1" s="4"/>
    </row>
    <row r="2" spans="1:9" x14ac:dyDescent="0.45">
      <c r="F2" s="4" t="s">
        <v>57</v>
      </c>
      <c r="G2" s="4" t="s">
        <v>38</v>
      </c>
      <c r="H2" s="4" t="s">
        <v>39</v>
      </c>
      <c r="I2" s="4" t="s">
        <v>75</v>
      </c>
    </row>
    <row r="3" spans="1:9" x14ac:dyDescent="0.45">
      <c r="A3" s="2" t="s">
        <v>74</v>
      </c>
      <c r="B3" s="2" t="s">
        <v>59</v>
      </c>
      <c r="F3" s="38">
        <v>2016</v>
      </c>
      <c r="G3" s="39">
        <v>128.6</v>
      </c>
      <c r="H3" s="39">
        <v>130.1</v>
      </c>
      <c r="I3" s="40"/>
    </row>
    <row r="4" spans="1:9" x14ac:dyDescent="0.45">
      <c r="A4" s="2" t="s">
        <v>57</v>
      </c>
      <c r="B4" t="s">
        <v>38</v>
      </c>
      <c r="C4" t="s">
        <v>39</v>
      </c>
      <c r="D4" t="s">
        <v>58</v>
      </c>
      <c r="F4" s="38">
        <v>2017</v>
      </c>
      <c r="G4" s="39">
        <v>131.4</v>
      </c>
      <c r="H4" s="39">
        <v>132</v>
      </c>
      <c r="I4" s="40">
        <f>(G4-H3)/H3</f>
        <v>9.9923136049193811E-3</v>
      </c>
    </row>
    <row r="5" spans="1:9" x14ac:dyDescent="0.45">
      <c r="A5" s="3">
        <v>2016</v>
      </c>
      <c r="B5">
        <v>128.6</v>
      </c>
      <c r="C5">
        <v>130.1</v>
      </c>
      <c r="D5">
        <v>258.7</v>
      </c>
      <c r="F5" s="38">
        <v>2018</v>
      </c>
      <c r="G5" s="39">
        <v>137.80000000000001</v>
      </c>
      <c r="H5" s="39">
        <v>138.5</v>
      </c>
      <c r="I5" s="40">
        <f t="shared" ref="I5:I10" si="0">(G5-H4)/H4</f>
        <v>4.3939393939394028E-2</v>
      </c>
    </row>
    <row r="6" spans="1:9" x14ac:dyDescent="0.45">
      <c r="A6" s="3">
        <v>2017</v>
      </c>
      <c r="B6">
        <v>131.4</v>
      </c>
      <c r="C6">
        <v>132</v>
      </c>
      <c r="D6">
        <v>263.39999999999998</v>
      </c>
      <c r="F6" s="38">
        <v>2019</v>
      </c>
      <c r="G6" s="39">
        <v>142</v>
      </c>
      <c r="H6" s="39">
        <v>142.9</v>
      </c>
      <c r="I6" s="40">
        <f t="shared" si="0"/>
        <v>2.5270758122743681E-2</v>
      </c>
    </row>
    <row r="7" spans="1:9" x14ac:dyDescent="0.45">
      <c r="A7" s="3">
        <v>2018</v>
      </c>
      <c r="B7">
        <v>137.80000000000001</v>
      </c>
      <c r="C7">
        <v>138.5</v>
      </c>
      <c r="D7">
        <v>276.3</v>
      </c>
      <c r="F7" s="38">
        <v>2020</v>
      </c>
      <c r="G7" s="39">
        <v>149</v>
      </c>
      <c r="H7" s="39">
        <v>151.80000000000001</v>
      </c>
      <c r="I7" s="40">
        <f t="shared" si="0"/>
        <v>4.2687193841847403E-2</v>
      </c>
    </row>
    <row r="8" spans="1:9" x14ac:dyDescent="0.45">
      <c r="A8" s="3">
        <v>2019</v>
      </c>
      <c r="B8">
        <v>142</v>
      </c>
      <c r="C8">
        <v>142.9</v>
      </c>
      <c r="D8">
        <v>284.89999999999998</v>
      </c>
      <c r="F8" s="38">
        <v>2021</v>
      </c>
      <c r="G8" s="39">
        <v>160.4</v>
      </c>
      <c r="H8" s="39">
        <v>161.30000000000001</v>
      </c>
      <c r="I8" s="40">
        <f t="shared" si="0"/>
        <v>5.6653491436100087E-2</v>
      </c>
    </row>
    <row r="9" spans="1:9" x14ac:dyDescent="0.45">
      <c r="A9" s="3">
        <v>2020</v>
      </c>
      <c r="B9">
        <v>149</v>
      </c>
      <c r="C9">
        <v>151.80000000000001</v>
      </c>
      <c r="D9">
        <v>300.8</v>
      </c>
      <c r="F9" s="38">
        <v>2022</v>
      </c>
      <c r="G9" s="39">
        <v>171.7</v>
      </c>
      <c r="H9" s="39">
        <v>172.6</v>
      </c>
      <c r="I9" s="40">
        <f t="shared" si="0"/>
        <v>6.4476131432113934E-2</v>
      </c>
    </row>
    <row r="10" spans="1:9" x14ac:dyDescent="0.45">
      <c r="A10" s="3">
        <v>2021</v>
      </c>
      <c r="B10">
        <v>160.4</v>
      </c>
      <c r="C10">
        <v>161.30000000000001</v>
      </c>
      <c r="D10">
        <v>321.70000000000005</v>
      </c>
      <c r="F10" s="38">
        <v>2023</v>
      </c>
      <c r="G10" s="39">
        <v>179.1</v>
      </c>
      <c r="H10" s="39"/>
      <c r="I10" s="40">
        <f t="shared" si="0"/>
        <v>3.7659327925840091E-2</v>
      </c>
    </row>
    <row r="11" spans="1:9" x14ac:dyDescent="0.45">
      <c r="A11" s="3">
        <v>2022</v>
      </c>
      <c r="B11">
        <v>171.7</v>
      </c>
      <c r="C11">
        <v>172.6</v>
      </c>
      <c r="D11">
        <v>344.29999999999995</v>
      </c>
    </row>
    <row r="12" spans="1:9" x14ac:dyDescent="0.45">
      <c r="A12" s="3">
        <v>2023</v>
      </c>
      <c r="B12">
        <v>179.1</v>
      </c>
      <c r="D12">
        <v>179.1</v>
      </c>
    </row>
    <row r="13" spans="1:9" x14ac:dyDescent="0.45">
      <c r="A13" s="3" t="s">
        <v>58</v>
      </c>
      <c r="B13">
        <v>1199.9999999999998</v>
      </c>
      <c r="C13">
        <v>1029.1999999999998</v>
      </c>
      <c r="D13">
        <v>2229.1999999999994</v>
      </c>
      <c r="F13" s="10" t="s">
        <v>1</v>
      </c>
      <c r="G13" s="10" t="s">
        <v>75</v>
      </c>
    </row>
    <row r="14" spans="1:9" x14ac:dyDescent="0.45">
      <c r="F14" s="6">
        <v>2017</v>
      </c>
      <c r="G14" s="7">
        <v>9.9923136049193811E-3</v>
      </c>
    </row>
    <row r="15" spans="1:9" x14ac:dyDescent="0.45">
      <c r="F15" s="6">
        <v>2018</v>
      </c>
      <c r="G15" s="7">
        <v>4.3939393939394028E-2</v>
      </c>
    </row>
    <row r="16" spans="1:9" x14ac:dyDescent="0.45">
      <c r="F16" s="6">
        <v>2019</v>
      </c>
      <c r="G16" s="7">
        <v>2.5270758122743681E-2</v>
      </c>
    </row>
    <row r="17" spans="1:7" x14ac:dyDescent="0.45">
      <c r="F17" s="6">
        <v>2020</v>
      </c>
      <c r="G17" s="7">
        <v>4.2687193841847403E-2</v>
      </c>
    </row>
    <row r="18" spans="1:7" x14ac:dyDescent="0.45">
      <c r="F18" s="6">
        <v>2021</v>
      </c>
      <c r="G18" s="7">
        <v>5.6653491436100087E-2</v>
      </c>
    </row>
    <row r="19" spans="1:7" x14ac:dyDescent="0.45">
      <c r="F19" s="13">
        <v>2022</v>
      </c>
      <c r="G19" s="14">
        <v>6.4476131432113934E-2</v>
      </c>
    </row>
    <row r="20" spans="1:7" x14ac:dyDescent="0.45">
      <c r="F20" s="6">
        <v>2023</v>
      </c>
      <c r="G20" s="7">
        <v>3.7659327925840091E-2</v>
      </c>
    </row>
    <row r="25" spans="1:7" x14ac:dyDescent="0.45">
      <c r="A25" s="11" t="s">
        <v>77</v>
      </c>
    </row>
    <row r="26" spans="1:7" x14ac:dyDescent="0.45">
      <c r="A26" t="s">
        <v>78</v>
      </c>
    </row>
    <row r="27" spans="1:7" x14ac:dyDescent="0.45">
      <c r="A27" t="s">
        <v>79</v>
      </c>
    </row>
    <row r="28" spans="1:7" x14ac:dyDescent="0.45">
      <c r="A28" t="s">
        <v>80</v>
      </c>
    </row>
    <row r="29" spans="1:7" ht="28.5" x14ac:dyDescent="0.45">
      <c r="A29" s="12" t="s">
        <v>81</v>
      </c>
    </row>
    <row r="30" spans="1:7" x14ac:dyDescent="0.45">
      <c r="A30" t="s">
        <v>121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980D-906D-40F2-B6D8-397B40A2277C}">
  <dimension ref="A1:G27"/>
  <sheetViews>
    <sheetView showGridLines="0" workbookViewId="0">
      <selection activeCell="E19" sqref="E19:F19"/>
    </sheetView>
  </sheetViews>
  <sheetFormatPr defaultRowHeight="14.25" x14ac:dyDescent="0.45"/>
  <cols>
    <col min="1" max="1" width="12.3984375" bestFit="1" customWidth="1"/>
    <col min="2" max="2" width="12.73046875" bestFit="1" customWidth="1"/>
    <col min="5" max="5" width="21.73046875" customWidth="1"/>
    <col min="6" max="6" width="19.86328125" customWidth="1"/>
    <col min="7" max="7" width="14.6640625" customWidth="1"/>
  </cols>
  <sheetData>
    <row r="1" spans="1:7" x14ac:dyDescent="0.45">
      <c r="A1" s="2" t="s">
        <v>0</v>
      </c>
      <c r="B1" t="s">
        <v>34</v>
      </c>
      <c r="E1" s="79" t="s">
        <v>2</v>
      </c>
      <c r="F1" s="79" t="s">
        <v>89</v>
      </c>
      <c r="G1" s="79" t="s">
        <v>87</v>
      </c>
    </row>
    <row r="2" spans="1:7" x14ac:dyDescent="0.45">
      <c r="E2" s="80" t="s">
        <v>84</v>
      </c>
      <c r="F2" s="80">
        <v>173.3</v>
      </c>
      <c r="G2" s="81"/>
    </row>
    <row r="3" spans="1:7" x14ac:dyDescent="0.45">
      <c r="A3" s="2" t="s">
        <v>57</v>
      </c>
      <c r="B3" t="s">
        <v>60</v>
      </c>
      <c r="E3" s="80" t="s">
        <v>122</v>
      </c>
      <c r="F3" s="80">
        <v>174.9</v>
      </c>
      <c r="G3" s="82">
        <f>(F3-F2)/F2</f>
        <v>9.2325447201384546E-3</v>
      </c>
    </row>
    <row r="4" spans="1:7" x14ac:dyDescent="0.45">
      <c r="A4" s="3">
        <v>2022</v>
      </c>
      <c r="B4">
        <v>2082.8999999999996</v>
      </c>
      <c r="E4" s="80" t="s">
        <v>85</v>
      </c>
      <c r="F4" s="80">
        <v>175</v>
      </c>
      <c r="G4" s="82">
        <f t="shared" ref="G4:G14" si="0">(F4-F3)/F3</f>
        <v>5.7175528873638828E-4</v>
      </c>
    </row>
    <row r="5" spans="1:7" x14ac:dyDescent="0.45">
      <c r="A5" s="16" t="s">
        <v>31</v>
      </c>
      <c r="B5">
        <v>166.4</v>
      </c>
      <c r="E5" s="80" t="s">
        <v>123</v>
      </c>
      <c r="F5" s="80">
        <v>176.3</v>
      </c>
      <c r="G5" s="82">
        <f t="shared" si="0"/>
        <v>7.4285714285714935E-3</v>
      </c>
    </row>
    <row r="6" spans="1:7" x14ac:dyDescent="0.45">
      <c r="A6" s="16" t="s">
        <v>35</v>
      </c>
      <c r="B6">
        <v>166.2</v>
      </c>
      <c r="E6" s="80" t="s">
        <v>124</v>
      </c>
      <c r="F6" s="80">
        <v>177.8</v>
      </c>
      <c r="G6" s="82">
        <f t="shared" si="0"/>
        <v>8.5082246171298923E-3</v>
      </c>
    </row>
    <row r="7" spans="1:7" x14ac:dyDescent="0.45">
      <c r="A7" s="16" t="s">
        <v>36</v>
      </c>
      <c r="B7">
        <v>168.4</v>
      </c>
      <c r="E7" s="83" t="s">
        <v>125</v>
      </c>
      <c r="F7" s="83">
        <v>179.6</v>
      </c>
      <c r="G7" s="84">
        <f t="shared" si="0"/>
        <v>1.0123734533183255E-2</v>
      </c>
    </row>
    <row r="8" spans="1:7" x14ac:dyDescent="0.45">
      <c r="A8" s="16" t="s">
        <v>37</v>
      </c>
      <c r="B8">
        <v>170.8</v>
      </c>
      <c r="E8" s="80" t="s">
        <v>126</v>
      </c>
      <c r="F8" s="80">
        <v>178.3</v>
      </c>
      <c r="G8" s="82">
        <f t="shared" si="0"/>
        <v>-7.2383073496658295E-3</v>
      </c>
    </row>
    <row r="9" spans="1:7" x14ac:dyDescent="0.45">
      <c r="A9" s="16" t="s">
        <v>38</v>
      </c>
      <c r="B9">
        <v>173.3</v>
      </c>
      <c r="E9" s="85" t="s">
        <v>127</v>
      </c>
      <c r="F9" s="85">
        <v>175.9</v>
      </c>
      <c r="G9" s="86">
        <f t="shared" si="0"/>
        <v>-1.3460459899046581E-2</v>
      </c>
    </row>
    <row r="10" spans="1:7" x14ac:dyDescent="0.45">
      <c r="A10" s="16" t="s">
        <v>39</v>
      </c>
      <c r="B10">
        <v>174.9</v>
      </c>
      <c r="E10" s="80" t="s">
        <v>128</v>
      </c>
      <c r="F10" s="80">
        <v>176.7</v>
      </c>
      <c r="G10" s="82">
        <f t="shared" si="0"/>
        <v>4.5480386583284984E-3</v>
      </c>
    </row>
    <row r="11" spans="1:7" x14ac:dyDescent="0.45">
      <c r="A11" s="16" t="s">
        <v>40</v>
      </c>
      <c r="B11">
        <v>175</v>
      </c>
      <c r="E11" s="80" t="s">
        <v>129</v>
      </c>
      <c r="F11" s="80">
        <v>177</v>
      </c>
      <c r="G11" s="82">
        <f t="shared" si="0"/>
        <v>1.6977928692700134E-3</v>
      </c>
    </row>
    <row r="12" spans="1:7" x14ac:dyDescent="0.45">
      <c r="A12" s="16" t="s">
        <v>41</v>
      </c>
      <c r="B12">
        <v>176.3</v>
      </c>
      <c r="E12" s="80" t="s">
        <v>130</v>
      </c>
      <c r="F12" s="80">
        <v>177</v>
      </c>
      <c r="G12" s="82">
        <f t="shared" si="0"/>
        <v>0</v>
      </c>
    </row>
    <row r="13" spans="1:7" x14ac:dyDescent="0.45">
      <c r="A13" s="16" t="s">
        <v>42</v>
      </c>
      <c r="B13">
        <v>177.8</v>
      </c>
      <c r="E13" s="80" t="s">
        <v>131</v>
      </c>
      <c r="F13" s="80">
        <v>177.9</v>
      </c>
      <c r="G13" s="82">
        <f t="shared" si="0"/>
        <v>5.0847457627118961E-3</v>
      </c>
    </row>
    <row r="14" spans="1:7" x14ac:dyDescent="0.45">
      <c r="A14" s="16" t="s">
        <v>43</v>
      </c>
      <c r="B14">
        <v>179.6</v>
      </c>
      <c r="E14" s="80" t="s">
        <v>86</v>
      </c>
      <c r="F14" s="80">
        <v>179.1</v>
      </c>
      <c r="G14" s="82">
        <f t="shared" si="0"/>
        <v>6.7453625632377095E-3</v>
      </c>
    </row>
    <row r="15" spans="1:7" x14ac:dyDescent="0.45">
      <c r="A15" s="16" t="s">
        <v>45</v>
      </c>
      <c r="B15">
        <v>178.3</v>
      </c>
    </row>
    <row r="16" spans="1:7" x14ac:dyDescent="0.45">
      <c r="A16" s="16" t="s">
        <v>46</v>
      </c>
      <c r="B16">
        <v>175.9</v>
      </c>
    </row>
    <row r="17" spans="1:6" x14ac:dyDescent="0.45">
      <c r="A17" s="3">
        <v>2023</v>
      </c>
      <c r="B17">
        <v>887.7</v>
      </c>
    </row>
    <row r="18" spans="1:6" x14ac:dyDescent="0.45">
      <c r="A18" s="16" t="s">
        <v>31</v>
      </c>
      <c r="B18">
        <v>176.7</v>
      </c>
      <c r="E18" s="87" t="s">
        <v>132</v>
      </c>
      <c r="F18" s="88">
        <v>44835</v>
      </c>
    </row>
    <row r="19" spans="1:6" x14ac:dyDescent="0.45">
      <c r="A19" s="16" t="s">
        <v>35</v>
      </c>
      <c r="B19">
        <v>177</v>
      </c>
      <c r="E19" s="87" t="s">
        <v>90</v>
      </c>
      <c r="F19" s="89">
        <v>44896</v>
      </c>
    </row>
    <row r="20" spans="1:6" x14ac:dyDescent="0.45">
      <c r="A20" s="16" t="s">
        <v>36</v>
      </c>
      <c r="B20">
        <v>177</v>
      </c>
    </row>
    <row r="21" spans="1:6" x14ac:dyDescent="0.45">
      <c r="A21" s="16" t="s">
        <v>37</v>
      </c>
      <c r="B21">
        <v>177.9</v>
      </c>
    </row>
    <row r="22" spans="1:6" x14ac:dyDescent="0.45">
      <c r="A22" s="16" t="s">
        <v>38</v>
      </c>
      <c r="B22">
        <v>179.1</v>
      </c>
    </row>
    <row r="23" spans="1:6" x14ac:dyDescent="0.45">
      <c r="A23" s="3" t="s">
        <v>58</v>
      </c>
      <c r="B23">
        <v>2970.5999999999995</v>
      </c>
    </row>
    <row r="26" spans="1:6" x14ac:dyDescent="0.45">
      <c r="A26" s="17" t="s">
        <v>77</v>
      </c>
    </row>
    <row r="27" spans="1:6" x14ac:dyDescent="0.45">
      <c r="A27" t="s">
        <v>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EB14-4FBD-41E4-9018-B02D901A616A}">
  <dimension ref="A1:M35"/>
  <sheetViews>
    <sheetView showGridLines="0" topLeftCell="C1" workbookViewId="0">
      <selection activeCell="I11" sqref="I11"/>
    </sheetView>
  </sheetViews>
  <sheetFormatPr defaultRowHeight="14.25" x14ac:dyDescent="0.45"/>
  <cols>
    <col min="1" max="1" width="9.73046875" bestFit="1" customWidth="1"/>
    <col min="2" max="2" width="23.19921875" bestFit="1" customWidth="1"/>
    <col min="3" max="3" width="34.9296875" bestFit="1" customWidth="1"/>
    <col min="4" max="4" width="26" bestFit="1" customWidth="1"/>
    <col min="5" max="5" width="11.6640625" bestFit="1" customWidth="1"/>
    <col min="6" max="6" width="25.73046875" bestFit="1" customWidth="1"/>
    <col min="7" max="7" width="22.3984375" bestFit="1" customWidth="1"/>
    <col min="8" max="8" width="15.06640625" bestFit="1" customWidth="1"/>
    <col min="9" max="9" width="10.9296875" bestFit="1" customWidth="1"/>
    <col min="10" max="10" width="16.1328125" bestFit="1" customWidth="1"/>
    <col min="11" max="11" width="16.9296875" bestFit="1" customWidth="1"/>
    <col min="12" max="12" width="9.19921875" bestFit="1" customWidth="1"/>
    <col min="13" max="13" width="20.3984375" bestFit="1" customWidth="1"/>
  </cols>
  <sheetData>
    <row r="1" spans="1:13" x14ac:dyDescent="0.45">
      <c r="A1" s="23" t="s">
        <v>2</v>
      </c>
      <c r="B1" s="23" t="s">
        <v>3</v>
      </c>
      <c r="C1" s="23" t="s">
        <v>14</v>
      </c>
      <c r="D1" s="23" t="s">
        <v>13</v>
      </c>
      <c r="E1" s="23" t="s">
        <v>12</v>
      </c>
      <c r="F1" s="23" t="s">
        <v>11</v>
      </c>
      <c r="G1" s="23" t="s">
        <v>10</v>
      </c>
      <c r="H1" s="23" t="s">
        <v>9</v>
      </c>
      <c r="I1" s="23" t="s">
        <v>8</v>
      </c>
      <c r="J1" s="23" t="s">
        <v>7</v>
      </c>
      <c r="K1" s="23" t="s">
        <v>4</v>
      </c>
      <c r="L1" s="23" t="s">
        <v>5</v>
      </c>
      <c r="M1" s="23" t="s">
        <v>6</v>
      </c>
    </row>
    <row r="2" spans="1:13" x14ac:dyDescent="0.45">
      <c r="A2" s="24">
        <v>44713</v>
      </c>
      <c r="B2" s="25">
        <v>155</v>
      </c>
      <c r="C2" s="25">
        <v>183.9</v>
      </c>
      <c r="D2" s="25">
        <v>167.9</v>
      </c>
      <c r="E2" s="25">
        <v>187.1</v>
      </c>
      <c r="F2" s="25">
        <v>119.9</v>
      </c>
      <c r="G2" s="25">
        <v>164.3</v>
      </c>
      <c r="H2" s="25">
        <v>182.3</v>
      </c>
      <c r="I2" s="25">
        <v>169.7</v>
      </c>
      <c r="J2" s="25">
        <v>200.9</v>
      </c>
      <c r="K2" s="25">
        <v>219.4</v>
      </c>
      <c r="L2" s="25">
        <v>170.8</v>
      </c>
      <c r="M2" s="25">
        <v>165.8</v>
      </c>
    </row>
    <row r="3" spans="1:13" x14ac:dyDescent="0.45">
      <c r="A3" s="24">
        <v>44743</v>
      </c>
      <c r="B3" s="25">
        <v>156.5</v>
      </c>
      <c r="C3" s="25">
        <v>185.2</v>
      </c>
      <c r="D3" s="25">
        <v>168.4</v>
      </c>
      <c r="E3" s="25">
        <v>190</v>
      </c>
      <c r="F3" s="25">
        <v>120</v>
      </c>
      <c r="G3" s="25">
        <v>164.3</v>
      </c>
      <c r="H3" s="25">
        <v>182.1</v>
      </c>
      <c r="I3" s="25">
        <v>174.2</v>
      </c>
      <c r="J3" s="25">
        <v>195.8</v>
      </c>
      <c r="K3" s="25">
        <v>213</v>
      </c>
      <c r="L3" s="25">
        <v>175.2</v>
      </c>
      <c r="M3" s="25">
        <v>166.6</v>
      </c>
    </row>
    <row r="4" spans="1:13" x14ac:dyDescent="0.45">
      <c r="A4" s="24">
        <v>44774</v>
      </c>
      <c r="B4" s="25">
        <v>160.30000000000001</v>
      </c>
      <c r="C4" s="25">
        <v>186.3</v>
      </c>
      <c r="D4" s="25">
        <v>168.8</v>
      </c>
      <c r="E4" s="25">
        <v>193.6</v>
      </c>
      <c r="F4" s="25">
        <v>120.9</v>
      </c>
      <c r="G4" s="25">
        <v>167.2</v>
      </c>
      <c r="H4" s="25">
        <v>186.7</v>
      </c>
      <c r="I4" s="25">
        <v>172.9</v>
      </c>
      <c r="J4" s="25">
        <v>192.4</v>
      </c>
      <c r="K4" s="25">
        <v>206.5</v>
      </c>
      <c r="L4" s="25">
        <v>169.2</v>
      </c>
      <c r="M4" s="25">
        <v>168.1</v>
      </c>
    </row>
    <row r="5" spans="1:13" x14ac:dyDescent="0.45">
      <c r="A5" s="24">
        <v>44805</v>
      </c>
      <c r="B5" s="25">
        <v>163.5</v>
      </c>
      <c r="C5" s="25">
        <v>187.4</v>
      </c>
      <c r="D5" s="25">
        <v>169.4</v>
      </c>
      <c r="E5" s="25">
        <v>197.3</v>
      </c>
      <c r="F5" s="25">
        <v>121.6</v>
      </c>
      <c r="G5" s="25">
        <v>169.1</v>
      </c>
      <c r="H5" s="25">
        <v>191.8</v>
      </c>
      <c r="I5" s="25">
        <v>165.7</v>
      </c>
      <c r="J5" s="25">
        <v>188.7</v>
      </c>
      <c r="K5" s="25">
        <v>209.2</v>
      </c>
      <c r="L5" s="25">
        <v>169.7</v>
      </c>
      <c r="M5" s="25">
        <v>169.7</v>
      </c>
    </row>
    <row r="6" spans="1:13" x14ac:dyDescent="0.45">
      <c r="A6" s="24">
        <v>44835</v>
      </c>
      <c r="B6" s="25">
        <v>165.2</v>
      </c>
      <c r="C6" s="25">
        <v>188.3</v>
      </c>
      <c r="D6" s="25">
        <v>169.9</v>
      </c>
      <c r="E6" s="25">
        <v>199.9</v>
      </c>
      <c r="F6" s="25">
        <v>121.9</v>
      </c>
      <c r="G6" s="25">
        <v>169.8</v>
      </c>
      <c r="H6" s="25">
        <v>199.7</v>
      </c>
      <c r="I6" s="25">
        <v>163.80000000000001</v>
      </c>
      <c r="J6" s="25">
        <v>186.5</v>
      </c>
      <c r="K6" s="25">
        <v>210.9</v>
      </c>
      <c r="L6" s="25">
        <v>170.9</v>
      </c>
      <c r="M6" s="25">
        <v>170.9</v>
      </c>
    </row>
    <row r="7" spans="1:13" x14ac:dyDescent="0.45">
      <c r="A7" s="24">
        <v>44866</v>
      </c>
      <c r="B7" s="25">
        <v>167.4</v>
      </c>
      <c r="C7" s="25">
        <v>189.5</v>
      </c>
      <c r="D7" s="25">
        <v>170.4</v>
      </c>
      <c r="E7" s="25">
        <v>202.8</v>
      </c>
      <c r="F7" s="25">
        <v>122.1</v>
      </c>
      <c r="G7" s="25">
        <v>170.5</v>
      </c>
      <c r="H7" s="25">
        <v>183.1</v>
      </c>
      <c r="I7" s="25">
        <v>160.69999999999999</v>
      </c>
      <c r="J7" s="25">
        <v>188.9</v>
      </c>
      <c r="K7" s="25">
        <v>209.4</v>
      </c>
      <c r="L7" s="25">
        <v>181.4</v>
      </c>
      <c r="M7" s="25">
        <v>172.3</v>
      </c>
    </row>
    <row r="8" spans="1:13" x14ac:dyDescent="0.45">
      <c r="A8" s="24">
        <v>44896</v>
      </c>
      <c r="B8" s="25">
        <v>169.2</v>
      </c>
      <c r="C8" s="25">
        <v>190.3</v>
      </c>
      <c r="D8" s="25">
        <v>171</v>
      </c>
      <c r="E8" s="25">
        <v>205.2</v>
      </c>
      <c r="F8" s="25">
        <v>121.8</v>
      </c>
      <c r="G8" s="25">
        <v>170.8</v>
      </c>
      <c r="H8" s="25">
        <v>159.9</v>
      </c>
      <c r="I8" s="25">
        <v>158</v>
      </c>
      <c r="J8" s="25">
        <v>188.5</v>
      </c>
      <c r="K8" s="25">
        <v>209</v>
      </c>
      <c r="L8" s="25">
        <v>190.2</v>
      </c>
      <c r="M8" s="25">
        <v>173.6</v>
      </c>
    </row>
    <row r="9" spans="1:13" x14ac:dyDescent="0.45">
      <c r="A9" s="24">
        <v>44927</v>
      </c>
      <c r="B9" s="25">
        <v>173.8</v>
      </c>
      <c r="C9" s="25">
        <v>191.2</v>
      </c>
      <c r="D9" s="25">
        <v>171.4</v>
      </c>
      <c r="E9" s="25">
        <v>208.4</v>
      </c>
      <c r="F9" s="25">
        <v>121.1</v>
      </c>
      <c r="G9" s="25">
        <v>170.9</v>
      </c>
      <c r="H9" s="25">
        <v>153.9</v>
      </c>
      <c r="I9" s="25">
        <v>158.30000000000001</v>
      </c>
      <c r="J9" s="25">
        <v>187.2</v>
      </c>
      <c r="K9" s="25">
        <v>210.7</v>
      </c>
      <c r="L9" s="25">
        <v>194.5</v>
      </c>
      <c r="M9" s="25">
        <v>174.6</v>
      </c>
    </row>
    <row r="10" spans="1:13" x14ac:dyDescent="0.45">
      <c r="A10" s="24">
        <v>44958</v>
      </c>
      <c r="B10" s="25">
        <v>174.4</v>
      </c>
      <c r="C10" s="25">
        <v>193</v>
      </c>
      <c r="D10" s="25">
        <v>172.3</v>
      </c>
      <c r="E10" s="25">
        <v>209.7</v>
      </c>
      <c r="F10" s="25">
        <v>120</v>
      </c>
      <c r="G10" s="25">
        <v>171</v>
      </c>
      <c r="H10" s="25">
        <v>152.69999999999999</v>
      </c>
      <c r="I10" s="25">
        <v>169.5</v>
      </c>
      <c r="J10" s="25">
        <v>179.3</v>
      </c>
      <c r="K10" s="25">
        <v>207.7</v>
      </c>
      <c r="L10" s="25">
        <v>175.2</v>
      </c>
      <c r="M10" s="25">
        <v>177.3</v>
      </c>
    </row>
    <row r="11" spans="1:13" x14ac:dyDescent="0.45">
      <c r="A11" s="24">
        <v>44986</v>
      </c>
      <c r="B11" s="25">
        <v>174.4</v>
      </c>
      <c r="C11" s="25">
        <v>193</v>
      </c>
      <c r="D11" s="25">
        <v>172.3</v>
      </c>
      <c r="E11" s="25">
        <v>209.7</v>
      </c>
      <c r="F11" s="25">
        <v>120</v>
      </c>
      <c r="G11" s="25">
        <v>171.1</v>
      </c>
      <c r="H11" s="25">
        <v>152.80000000000001</v>
      </c>
      <c r="I11" s="25">
        <v>169.5</v>
      </c>
      <c r="J11" s="25">
        <v>179.2</v>
      </c>
      <c r="K11" s="25">
        <v>207.7</v>
      </c>
      <c r="L11" s="25">
        <v>175.2</v>
      </c>
      <c r="M11" s="25">
        <v>177.3</v>
      </c>
    </row>
    <row r="12" spans="1:13" x14ac:dyDescent="0.45">
      <c r="A12" s="24">
        <v>45017</v>
      </c>
      <c r="B12" s="25">
        <v>173.8</v>
      </c>
      <c r="C12" s="25">
        <v>193.5</v>
      </c>
      <c r="D12" s="25">
        <v>172.9</v>
      </c>
      <c r="E12" s="25">
        <v>212.9</v>
      </c>
      <c r="F12" s="25">
        <v>121.3</v>
      </c>
      <c r="G12" s="25">
        <v>173.4</v>
      </c>
      <c r="H12" s="25">
        <v>155.4</v>
      </c>
      <c r="I12" s="25">
        <v>176.3</v>
      </c>
      <c r="J12" s="25">
        <v>174.9</v>
      </c>
      <c r="K12" s="25">
        <v>209.3</v>
      </c>
      <c r="L12" s="25">
        <v>169.6</v>
      </c>
      <c r="M12" s="25">
        <v>178.4</v>
      </c>
    </row>
    <row r="13" spans="1:13" x14ac:dyDescent="0.45">
      <c r="A13" s="24">
        <v>45047</v>
      </c>
      <c r="B13" s="25">
        <v>173.7</v>
      </c>
      <c r="C13" s="25">
        <v>194.2</v>
      </c>
      <c r="D13" s="25">
        <v>173.4</v>
      </c>
      <c r="E13" s="25">
        <v>218</v>
      </c>
      <c r="F13" s="25">
        <v>122.7</v>
      </c>
      <c r="G13" s="25">
        <v>175.6</v>
      </c>
      <c r="H13" s="25">
        <v>161</v>
      </c>
      <c r="I13" s="25">
        <v>172.2</v>
      </c>
      <c r="J13" s="25">
        <v>170</v>
      </c>
      <c r="K13" s="25">
        <v>214.3</v>
      </c>
      <c r="L13" s="25">
        <v>173.2</v>
      </c>
      <c r="M13" s="25">
        <v>179.5</v>
      </c>
    </row>
    <row r="15" spans="1:13" x14ac:dyDescent="0.45">
      <c r="B15" s="30" t="s">
        <v>88</v>
      </c>
      <c r="C15" s="31" t="s">
        <v>93</v>
      </c>
      <c r="D15" s="32" t="s">
        <v>94</v>
      </c>
    </row>
    <row r="16" spans="1:13" x14ac:dyDescent="0.45">
      <c r="B16" s="26" t="s">
        <v>3</v>
      </c>
      <c r="C16" s="25">
        <f>B13-B2</f>
        <v>18.699999999999989</v>
      </c>
      <c r="D16" s="33">
        <v>18.699999999999989</v>
      </c>
    </row>
    <row r="17" spans="2:4" ht="28.5" x14ac:dyDescent="0.45">
      <c r="B17" s="29" t="s">
        <v>14</v>
      </c>
      <c r="C17" s="25">
        <f>C13-C2</f>
        <v>10.299999999999983</v>
      </c>
      <c r="D17" s="33">
        <v>10.299999999999983</v>
      </c>
    </row>
    <row r="18" spans="2:4" x14ac:dyDescent="0.45">
      <c r="B18" s="26" t="s">
        <v>13</v>
      </c>
      <c r="C18" s="25">
        <f>D13-D2</f>
        <v>5.5</v>
      </c>
      <c r="D18" s="33">
        <v>5.5</v>
      </c>
    </row>
    <row r="19" spans="2:4" x14ac:dyDescent="0.45">
      <c r="B19" s="27" t="s">
        <v>12</v>
      </c>
      <c r="C19" s="34">
        <f>E13-E2</f>
        <v>30.900000000000006</v>
      </c>
      <c r="D19" s="35">
        <v>30.900000000000006</v>
      </c>
    </row>
    <row r="20" spans="2:4" x14ac:dyDescent="0.45">
      <c r="B20" s="26" t="s">
        <v>11</v>
      </c>
      <c r="C20" s="25">
        <f>F13-F2</f>
        <v>2.7999999999999972</v>
      </c>
      <c r="D20" s="33">
        <v>2.7999999999999972</v>
      </c>
    </row>
    <row r="21" spans="2:4" x14ac:dyDescent="0.45">
      <c r="B21" s="26" t="s">
        <v>10</v>
      </c>
      <c r="C21" s="25">
        <f>G13-G2</f>
        <v>11.299999999999983</v>
      </c>
      <c r="D21" s="33">
        <v>11.299999999999983</v>
      </c>
    </row>
    <row r="22" spans="2:4" x14ac:dyDescent="0.45">
      <c r="B22" s="26" t="s">
        <v>9</v>
      </c>
      <c r="C22" s="25">
        <f>H13-H2</f>
        <v>-21.300000000000011</v>
      </c>
      <c r="D22" s="33">
        <v>21.300000000000011</v>
      </c>
    </row>
    <row r="23" spans="2:4" x14ac:dyDescent="0.45">
      <c r="B23" s="26" t="s">
        <v>8</v>
      </c>
      <c r="C23" s="25">
        <f>I13-I2</f>
        <v>2.5</v>
      </c>
      <c r="D23" s="33">
        <v>2.5</v>
      </c>
    </row>
    <row r="24" spans="2:4" x14ac:dyDescent="0.45">
      <c r="B24" s="27" t="s">
        <v>7</v>
      </c>
      <c r="C24" s="34">
        <f>J13-J2</f>
        <v>-30.900000000000006</v>
      </c>
      <c r="D24" s="35">
        <v>30.900000000000006</v>
      </c>
    </row>
    <row r="25" spans="2:4" x14ac:dyDescent="0.45">
      <c r="B25" s="26" t="s">
        <v>4</v>
      </c>
      <c r="C25" s="25">
        <f>K13-K2</f>
        <v>-5.0999999999999943</v>
      </c>
      <c r="D25" s="33">
        <v>5.0999999999999943</v>
      </c>
    </row>
    <row r="26" spans="2:4" x14ac:dyDescent="0.45">
      <c r="B26" s="26" t="s">
        <v>5</v>
      </c>
      <c r="C26" s="25">
        <f>L13-L2</f>
        <v>2.3999999999999773</v>
      </c>
      <c r="D26" s="33">
        <v>2.3999999999999773</v>
      </c>
    </row>
    <row r="27" spans="2:4" x14ac:dyDescent="0.45">
      <c r="B27" s="28" t="s">
        <v>6</v>
      </c>
      <c r="C27" s="36">
        <f>M13-M2</f>
        <v>13.699999999999989</v>
      </c>
      <c r="D27" s="37">
        <v>13.699999999999989</v>
      </c>
    </row>
    <row r="32" spans="2:4" ht="42.75" x14ac:dyDescent="0.45">
      <c r="B32" s="18" t="s">
        <v>92</v>
      </c>
    </row>
    <row r="34" spans="1:1" x14ac:dyDescent="0.45">
      <c r="A34" s="17" t="s">
        <v>77</v>
      </c>
    </row>
    <row r="35" spans="1:1" x14ac:dyDescent="0.45">
      <c r="A35" t="s">
        <v>91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1C44-6D0B-4502-B153-FB4A0042F5D3}">
  <dimension ref="A1:H49"/>
  <sheetViews>
    <sheetView showGridLines="0" workbookViewId="0">
      <selection activeCell="C48" sqref="C48:G49"/>
    </sheetView>
  </sheetViews>
  <sheetFormatPr defaultRowHeight="14.25" x14ac:dyDescent="0.45"/>
  <cols>
    <col min="1" max="1" width="4.73046875" bestFit="1" customWidth="1"/>
    <col min="2" max="2" width="10.53125" bestFit="1" customWidth="1"/>
    <col min="3" max="3" width="27.1328125" bestFit="1" customWidth="1"/>
    <col min="4" max="4" width="22.3984375" bestFit="1" customWidth="1"/>
    <col min="5" max="5" width="12" bestFit="1" customWidth="1"/>
    <col min="6" max="6" width="13" bestFit="1" customWidth="1"/>
    <col min="7" max="7" width="33.1328125" bestFit="1" customWidth="1"/>
    <col min="8" max="8" width="28.33203125" bestFit="1" customWidth="1"/>
  </cols>
  <sheetData>
    <row r="1" spans="1:8" x14ac:dyDescent="0.45">
      <c r="A1" s="91" t="s">
        <v>108</v>
      </c>
      <c r="B1" s="91"/>
      <c r="C1" s="91"/>
      <c r="D1" s="91"/>
      <c r="E1" s="91"/>
      <c r="F1" s="91"/>
      <c r="G1" s="91"/>
      <c r="H1" s="91"/>
    </row>
    <row r="2" spans="1:8" x14ac:dyDescent="0.45">
      <c r="A2" s="20" t="s">
        <v>1</v>
      </c>
      <c r="B2" s="20" t="s">
        <v>23</v>
      </c>
      <c r="C2" s="20" t="s">
        <v>55</v>
      </c>
      <c r="D2" s="20" t="s">
        <v>110</v>
      </c>
      <c r="E2" s="20" t="s">
        <v>49</v>
      </c>
      <c r="F2" s="20" t="s">
        <v>20</v>
      </c>
      <c r="G2" s="20" t="s">
        <v>26</v>
      </c>
      <c r="H2" s="20" t="s">
        <v>50</v>
      </c>
    </row>
    <row r="3" spans="1:8" x14ac:dyDescent="0.45">
      <c r="A3" s="21">
        <v>2013</v>
      </c>
      <c r="B3" s="22">
        <v>4.9429657794676833E-2</v>
      </c>
      <c r="C3" s="22">
        <v>5.4976303317535516E-2</v>
      </c>
      <c r="D3" s="22">
        <v>5.7765151515151596E-2</v>
      </c>
      <c r="E3" s="22">
        <v>7.3625349487418501E-2</v>
      </c>
      <c r="F3" s="22">
        <v>0.12051792828685252</v>
      </c>
      <c r="G3" s="22">
        <v>7.5144508670520208E-2</v>
      </c>
      <c r="H3" s="22">
        <v>4.8113207547169759E-2</v>
      </c>
    </row>
    <row r="4" spans="1:8" x14ac:dyDescent="0.45">
      <c r="A4" s="21">
        <v>2014</v>
      </c>
      <c r="B4" s="22">
        <v>2.978339350180503E-2</v>
      </c>
      <c r="C4" s="22">
        <v>-4.3010752688172019E-2</v>
      </c>
      <c r="D4" s="22">
        <v>3.5204991087344054E-2</v>
      </c>
      <c r="E4" s="22">
        <v>6.6379310344827608E-2</v>
      </c>
      <c r="F4" s="22">
        <v>4.3286219081272011E-2</v>
      </c>
      <c r="G4" s="22">
        <v>7.6923076923076997E-2</v>
      </c>
      <c r="H4" s="22">
        <v>2.7953110910730335E-2</v>
      </c>
    </row>
    <row r="5" spans="1:8" x14ac:dyDescent="0.45">
      <c r="A5" s="21">
        <v>2015</v>
      </c>
      <c r="B5" s="22">
        <v>4.5494313210848673E-2</v>
      </c>
      <c r="C5" s="22">
        <v>6.4575645756456516E-3</v>
      </c>
      <c r="D5" s="22">
        <v>4.005167958656336E-2</v>
      </c>
      <c r="E5" s="22">
        <v>4.1969330104923229E-2</v>
      </c>
      <c r="F5" s="22">
        <v>4.8903878583473961E-2</v>
      </c>
      <c r="G5" s="22">
        <v>4.7263681592039829E-2</v>
      </c>
      <c r="H5" s="22">
        <v>1.3986013986013936E-2</v>
      </c>
    </row>
    <row r="6" spans="1:8" x14ac:dyDescent="0.45">
      <c r="A6" s="21">
        <v>2016</v>
      </c>
      <c r="B6" s="22">
        <v>2.6733500417710967E-2</v>
      </c>
      <c r="C6" s="22">
        <v>6.4516129032258063E-2</v>
      </c>
      <c r="D6" s="22">
        <v>3.4624896949711485E-2</v>
      </c>
      <c r="E6" s="22">
        <v>2.48254460822342E-2</v>
      </c>
      <c r="F6" s="22">
        <v>4.483586869495592E-2</v>
      </c>
      <c r="G6" s="22">
        <v>4.7468354430379743E-2</v>
      </c>
      <c r="H6" s="22">
        <v>3.8327526132404234E-2</v>
      </c>
    </row>
    <row r="7" spans="1:8" x14ac:dyDescent="0.45">
      <c r="A7" s="21">
        <v>2017</v>
      </c>
      <c r="B7" s="22">
        <v>5.442729488220973E-2</v>
      </c>
      <c r="C7" s="22">
        <v>1.5570934256055463E-2</v>
      </c>
      <c r="D7" s="22">
        <v>3.8201352964584025E-2</v>
      </c>
      <c r="E7" s="22">
        <v>2.2624434389140271E-2</v>
      </c>
      <c r="F7" s="22">
        <v>7.7803203661327369E-2</v>
      </c>
      <c r="G7" s="22">
        <v>3.3132530120481757E-2</v>
      </c>
      <c r="H7" s="22">
        <v>5.3807947019867554E-2</v>
      </c>
    </row>
    <row r="8" spans="1:8" x14ac:dyDescent="0.45">
      <c r="A8" s="21">
        <v>2018</v>
      </c>
      <c r="B8" s="22">
        <v>6.1302681992337162E-2</v>
      </c>
      <c r="C8" s="22">
        <v>1.1884550084889691E-2</v>
      </c>
      <c r="D8" s="22">
        <v>4.7728140511645673E-2</v>
      </c>
      <c r="E8" s="22">
        <v>2.3738872403560745E-2</v>
      </c>
      <c r="F8" s="22">
        <v>4.5774647887323945E-2</v>
      </c>
      <c r="G8" s="22">
        <v>6.386066763425241E-2</v>
      </c>
      <c r="H8" s="22">
        <v>5.5379746835442136E-3</v>
      </c>
    </row>
    <row r="9" spans="1:8" x14ac:dyDescent="0.45">
      <c r="A9" s="21">
        <v>2019</v>
      </c>
      <c r="B9" s="22">
        <v>3.7356321839080588E-2</v>
      </c>
      <c r="C9" s="22">
        <v>4.4203502919099226E-2</v>
      </c>
      <c r="D9" s="22">
        <v>5.3265231667274586E-2</v>
      </c>
      <c r="E9" s="22">
        <v>8.6676217765042946E-2</v>
      </c>
      <c r="F9" s="22">
        <v>3.8926174496644372E-2</v>
      </c>
      <c r="G9" s="22">
        <v>3.7491479209270623E-2</v>
      </c>
      <c r="H9" s="22">
        <v>7.8416149068322935E-2</v>
      </c>
    </row>
    <row r="13" spans="1:8" x14ac:dyDescent="0.45">
      <c r="A13" s="91" t="s">
        <v>109</v>
      </c>
      <c r="B13" s="91"/>
      <c r="C13" s="91"/>
      <c r="D13" s="91"/>
      <c r="E13" s="91"/>
      <c r="F13" s="91"/>
      <c r="G13" s="91"/>
      <c r="H13" s="91"/>
    </row>
    <row r="14" spans="1:8" x14ac:dyDescent="0.45">
      <c r="A14" s="20" t="s">
        <v>1</v>
      </c>
      <c r="B14" s="20" t="s">
        <v>23</v>
      </c>
      <c r="C14" s="20" t="s">
        <v>55</v>
      </c>
      <c r="D14" s="20" t="s">
        <v>110</v>
      </c>
      <c r="E14" s="20" t="s">
        <v>49</v>
      </c>
      <c r="F14" s="20" t="s">
        <v>20</v>
      </c>
      <c r="G14" s="20" t="s">
        <v>26</v>
      </c>
      <c r="H14" s="20" t="s">
        <v>50</v>
      </c>
    </row>
    <row r="15" spans="1:8" x14ac:dyDescent="0.45">
      <c r="A15" s="21">
        <v>2020</v>
      </c>
      <c r="B15" s="22">
        <v>7.7931034482758704E-2</v>
      </c>
      <c r="C15" s="22">
        <v>0.12760834670947035</v>
      </c>
      <c r="D15" s="22">
        <v>6.0501890684083959E-2</v>
      </c>
      <c r="E15" s="22">
        <v>7.1285809460359881E-2</v>
      </c>
      <c r="F15" s="22">
        <v>3.4304207119741172E-2</v>
      </c>
      <c r="G15" s="22">
        <v>2.6885245901639307E-2</v>
      </c>
      <c r="H15" s="22">
        <v>5.4455445544554372E-2</v>
      </c>
    </row>
    <row r="16" spans="1:8" x14ac:dyDescent="0.45">
      <c r="A16" s="21">
        <v>2021</v>
      </c>
      <c r="B16" s="22">
        <v>6.5646908859145842E-2</v>
      </c>
      <c r="C16" s="22">
        <v>8.0451658433309856E-2</v>
      </c>
      <c r="D16" s="22">
        <v>6.5365853658536657E-2</v>
      </c>
      <c r="E16" s="22">
        <v>6.1097256857855255E-2</v>
      </c>
      <c r="F16" s="22">
        <v>3.5021888680425231E-2</v>
      </c>
      <c r="G16" s="22">
        <v>2.7918781725888363E-2</v>
      </c>
      <c r="H16" s="22">
        <v>5.2971576227390106E-2</v>
      </c>
    </row>
    <row r="17" spans="1:8" x14ac:dyDescent="0.45">
      <c r="A17" s="21">
        <v>2022</v>
      </c>
      <c r="B17" s="22">
        <v>7.4910820451843191E-2</v>
      </c>
      <c r="C17" s="22">
        <v>3.6316472114137632E-2</v>
      </c>
      <c r="D17" s="22">
        <v>8.4112149532710206E-2</v>
      </c>
      <c r="E17" s="22">
        <v>5.3644314868804596E-2</v>
      </c>
      <c r="F17" s="22">
        <v>4.9606775559588555E-2</v>
      </c>
      <c r="G17" s="22">
        <v>6.0233558696988397E-2</v>
      </c>
      <c r="H17" s="22">
        <v>0.1112462006079028</v>
      </c>
    </row>
    <row r="36" spans="2:2" x14ac:dyDescent="0.45">
      <c r="B36" s="19" t="s">
        <v>77</v>
      </c>
    </row>
    <row r="37" spans="2:2" x14ac:dyDescent="0.45">
      <c r="B37" t="s">
        <v>97</v>
      </c>
    </row>
    <row r="38" spans="2:2" x14ac:dyDescent="0.45">
      <c r="B38" t="s">
        <v>98</v>
      </c>
    </row>
    <row r="39" spans="2:2" x14ac:dyDescent="0.45">
      <c r="B39" t="s">
        <v>111</v>
      </c>
    </row>
    <row r="40" spans="2:2" x14ac:dyDescent="0.45">
      <c r="B40" t="s">
        <v>112</v>
      </c>
    </row>
    <row r="41" spans="2:2" x14ac:dyDescent="0.45">
      <c r="B41" t="s">
        <v>99</v>
      </c>
    </row>
    <row r="42" spans="2:2" x14ac:dyDescent="0.45">
      <c r="B42" t="s">
        <v>107</v>
      </c>
    </row>
    <row r="45" spans="2:2" x14ac:dyDescent="0.45">
      <c r="B45" s="19" t="s">
        <v>100</v>
      </c>
    </row>
    <row r="46" spans="2:2" x14ac:dyDescent="0.45">
      <c r="B46" t="s">
        <v>114</v>
      </c>
    </row>
    <row r="47" spans="2:2" x14ac:dyDescent="0.45">
      <c r="B47" t="s">
        <v>115</v>
      </c>
    </row>
    <row r="48" spans="2:2" x14ac:dyDescent="0.45">
      <c r="B48" t="s">
        <v>116</v>
      </c>
    </row>
    <row r="49" spans="2:2" x14ac:dyDescent="0.45">
      <c r="B49" t="s">
        <v>117</v>
      </c>
    </row>
  </sheetData>
  <mergeCells count="2">
    <mergeCell ref="A1:H1"/>
    <mergeCell ref="A13:H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9A79-A35D-435C-8409-1BBD89D393AB}">
  <dimension ref="A1:G48"/>
  <sheetViews>
    <sheetView showGridLines="0" workbookViewId="0">
      <selection activeCell="E48" sqref="E48"/>
    </sheetView>
  </sheetViews>
  <sheetFormatPr defaultRowHeight="14.25" x14ac:dyDescent="0.45"/>
  <cols>
    <col min="1" max="1" width="4.73046875" bestFit="1" customWidth="1"/>
    <col min="2" max="2" width="6.73046875" bestFit="1" customWidth="1"/>
    <col min="3" max="3" width="27.1328125" bestFit="1" customWidth="1"/>
    <col min="4" max="4" width="22.3984375" bestFit="1" customWidth="1"/>
    <col min="5" max="6" width="6.73046875" bestFit="1" customWidth="1"/>
    <col min="7" max="7" width="8.6640625" bestFit="1" customWidth="1"/>
  </cols>
  <sheetData>
    <row r="1" spans="1:7" x14ac:dyDescent="0.45">
      <c r="A1" s="91" t="s">
        <v>95</v>
      </c>
      <c r="B1" s="91"/>
      <c r="C1" s="91"/>
      <c r="D1" s="91"/>
      <c r="E1" s="91"/>
      <c r="F1" s="91"/>
      <c r="G1" s="91"/>
    </row>
    <row r="2" spans="1:7" x14ac:dyDescent="0.45">
      <c r="A2" s="20" t="s">
        <v>1</v>
      </c>
      <c r="B2" s="20" t="s">
        <v>50</v>
      </c>
      <c r="C2" s="20" t="s">
        <v>55</v>
      </c>
      <c r="D2" s="20" t="s">
        <v>51</v>
      </c>
      <c r="E2" s="20" t="s">
        <v>49</v>
      </c>
      <c r="F2" s="20" t="s">
        <v>23</v>
      </c>
      <c r="G2" s="20" t="s">
        <v>26</v>
      </c>
    </row>
    <row r="3" spans="1:7" x14ac:dyDescent="0.45">
      <c r="A3" s="25">
        <v>2013</v>
      </c>
      <c r="B3" s="45">
        <v>6.6918001885014219E-2</v>
      </c>
      <c r="C3" s="45">
        <v>5.927342256214152E-2</v>
      </c>
      <c r="D3" s="45">
        <v>6.4211520302171823E-2</v>
      </c>
      <c r="E3" s="45">
        <v>8.1613508442776761E-2</v>
      </c>
      <c r="F3" s="45">
        <v>5.9216809933142336E-2</v>
      </c>
      <c r="G3" s="45">
        <v>7.382550335570473E-2</v>
      </c>
    </row>
    <row r="4" spans="1:7" x14ac:dyDescent="0.45">
      <c r="A4" s="25">
        <v>2014</v>
      </c>
      <c r="B4" s="45">
        <v>5.8201058201058149E-2</v>
      </c>
      <c r="C4" s="45">
        <v>-2.6978417266186796E-3</v>
      </c>
      <c r="D4" s="45">
        <v>4.2901371074745634E-2</v>
      </c>
      <c r="E4" s="45">
        <v>5.6798623063683253E-2</v>
      </c>
      <c r="F4" s="45">
        <v>5.6552962298025103E-2</v>
      </c>
      <c r="G4" s="45">
        <v>5.6049822064056912E-2</v>
      </c>
    </row>
    <row r="5" spans="1:7" x14ac:dyDescent="0.45">
      <c r="A5" s="25">
        <v>2015</v>
      </c>
      <c r="B5" s="45">
        <v>5.7213930348258758E-2</v>
      </c>
      <c r="C5" s="45">
        <v>2.0609318996415875E-2</v>
      </c>
      <c r="D5" s="45">
        <v>5.8823529411764608E-2</v>
      </c>
      <c r="E5" s="45">
        <v>5.8489033306255218E-2</v>
      </c>
      <c r="F5" s="45">
        <v>5.1607445008460186E-2</v>
      </c>
      <c r="G5" s="45">
        <v>6.4489112227805595E-2</v>
      </c>
    </row>
    <row r="6" spans="1:7" x14ac:dyDescent="0.45">
      <c r="A6" s="25">
        <v>2016</v>
      </c>
      <c r="B6" s="45">
        <v>4.8818897637795185E-2</v>
      </c>
      <c r="C6" s="45">
        <v>5.1936619718309915E-2</v>
      </c>
      <c r="D6" s="45">
        <v>4.8566878980891556E-2</v>
      </c>
      <c r="E6" s="45">
        <v>2.4539877300613407E-2</v>
      </c>
      <c r="F6" s="45">
        <v>4.2467948717948699E-2</v>
      </c>
      <c r="G6" s="45">
        <v>5.8039215686274556E-2</v>
      </c>
    </row>
    <row r="7" spans="1:7" x14ac:dyDescent="0.45">
      <c r="A7" s="25">
        <v>2017</v>
      </c>
      <c r="B7" s="45">
        <v>6.1102831594635004E-2</v>
      </c>
      <c r="C7" s="45">
        <v>2.9215358931552589E-2</v>
      </c>
      <c r="D7" s="45">
        <v>4.7330556607345697E-2</v>
      </c>
      <c r="E7" s="45">
        <v>3.9730134932533606E-2</v>
      </c>
      <c r="F7" s="45">
        <v>4.2879019908116343E-2</v>
      </c>
      <c r="G7" s="45">
        <v>4.659763313609476E-2</v>
      </c>
    </row>
    <row r="8" spans="1:7" x14ac:dyDescent="0.45">
      <c r="A8" s="25">
        <v>2018</v>
      </c>
      <c r="B8" s="45">
        <v>1.8934081346423683E-2</v>
      </c>
      <c r="C8" s="45">
        <v>3.6918138041733502E-2</v>
      </c>
      <c r="D8" s="45">
        <v>2.5936599423631079E-2</v>
      </c>
      <c r="E8" s="45">
        <v>-1.0101010101010142E-2</v>
      </c>
      <c r="F8" s="45">
        <v>9.6561814191660697E-2</v>
      </c>
      <c r="G8" s="45">
        <v>8.969866853538902E-2</v>
      </c>
    </row>
    <row r="9" spans="1:7" x14ac:dyDescent="0.45">
      <c r="A9" s="25">
        <v>2019</v>
      </c>
      <c r="B9" s="45">
        <v>4.0300546448087469E-2</v>
      </c>
      <c r="C9" s="45">
        <v>4.6959199384141601E-2</v>
      </c>
      <c r="D9" s="45">
        <v>4.0830693417810704E-2</v>
      </c>
      <c r="E9" s="45">
        <v>9.1041514930808434E-2</v>
      </c>
      <c r="F9" s="45">
        <v>3.8563829787233925E-2</v>
      </c>
      <c r="G9" s="45">
        <v>4.1157556270096499E-2</v>
      </c>
    </row>
    <row r="12" spans="1:7" x14ac:dyDescent="0.45">
      <c r="A12" s="91" t="s">
        <v>96</v>
      </c>
      <c r="B12" s="91"/>
      <c r="C12" s="91"/>
      <c r="D12" s="91"/>
      <c r="E12" s="91"/>
      <c r="F12" s="91"/>
      <c r="G12" s="91"/>
    </row>
    <row r="13" spans="1:7" x14ac:dyDescent="0.45">
      <c r="A13" s="20" t="s">
        <v>1</v>
      </c>
      <c r="B13" s="20" t="s">
        <v>50</v>
      </c>
      <c r="C13" s="20" t="s">
        <v>55</v>
      </c>
      <c r="D13" s="20" t="s">
        <v>51</v>
      </c>
      <c r="E13" s="20" t="s">
        <v>49</v>
      </c>
      <c r="F13" s="20" t="s">
        <v>23</v>
      </c>
      <c r="G13" s="20" t="s">
        <v>26</v>
      </c>
    </row>
    <row r="14" spans="1:7" x14ac:dyDescent="0.45">
      <c r="A14" s="25">
        <v>2020</v>
      </c>
      <c r="B14" s="45">
        <v>6.5189048239895691E-3</v>
      </c>
      <c r="C14" s="45">
        <v>0.10603829160530173</v>
      </c>
      <c r="D14" s="45">
        <v>5.3763440860215048E-2</v>
      </c>
      <c r="E14" s="45">
        <v>4.3859649122807022E-2</v>
      </c>
      <c r="F14" s="45">
        <v>4.8500319081046732E-2</v>
      </c>
      <c r="G14" s="45">
        <v>1.4888337468982667E-2</v>
      </c>
    </row>
    <row r="15" spans="1:7" x14ac:dyDescent="0.45">
      <c r="A15" s="25">
        <v>2021</v>
      </c>
      <c r="B15" s="45">
        <v>7.3076923076923109E-2</v>
      </c>
      <c r="C15" s="45">
        <v>6.5432914738929121E-2</v>
      </c>
      <c r="D15" s="45">
        <v>8.397435897435894E-2</v>
      </c>
      <c r="E15" s="45">
        <v>6.0841423948220098E-2</v>
      </c>
      <c r="F15" s="45">
        <v>6.5006075334143487E-2</v>
      </c>
      <c r="G15" s="45">
        <v>3.968253968253968E-2</v>
      </c>
    </row>
    <row r="16" spans="1:7" x14ac:dyDescent="0.45">
      <c r="A16" s="25">
        <v>2022</v>
      </c>
      <c r="B16" s="45">
        <v>7.5192421551213667E-2</v>
      </c>
      <c r="C16" s="45">
        <v>4.3209876543209874E-2</v>
      </c>
      <c r="D16" s="45">
        <v>8.1167883211678699E-2</v>
      </c>
      <c r="E16" s="45">
        <v>4.9219687875150166E-2</v>
      </c>
      <c r="F16" s="45">
        <v>6.0227272727272692E-2</v>
      </c>
      <c r="G16" s="45">
        <v>4.6307151230949625E-2</v>
      </c>
    </row>
    <row r="34" spans="2:2" x14ac:dyDescent="0.45">
      <c r="B34" s="19" t="s">
        <v>77</v>
      </c>
    </row>
    <row r="35" spans="2:2" x14ac:dyDescent="0.45">
      <c r="B35" t="s">
        <v>97</v>
      </c>
    </row>
    <row r="36" spans="2:2" x14ac:dyDescent="0.45">
      <c r="B36" t="s">
        <v>98</v>
      </c>
    </row>
    <row r="37" spans="2:2" x14ac:dyDescent="0.45">
      <c r="B37" t="s">
        <v>113</v>
      </c>
    </row>
    <row r="38" spans="2:2" x14ac:dyDescent="0.45">
      <c r="B38" t="s">
        <v>101</v>
      </c>
    </row>
    <row r="39" spans="2:2" x14ac:dyDescent="0.45">
      <c r="B39" t="s">
        <v>99</v>
      </c>
    </row>
    <row r="40" spans="2:2" x14ac:dyDescent="0.45">
      <c r="B40" t="s">
        <v>107</v>
      </c>
    </row>
    <row r="43" spans="2:2" x14ac:dyDescent="0.45">
      <c r="B43" s="19" t="s">
        <v>100</v>
      </c>
    </row>
    <row r="44" spans="2:2" x14ac:dyDescent="0.45">
      <c r="B44" t="s">
        <v>102</v>
      </c>
    </row>
    <row r="45" spans="2:2" x14ac:dyDescent="0.45">
      <c r="B45" t="s">
        <v>103</v>
      </c>
    </row>
    <row r="46" spans="2:2" x14ac:dyDescent="0.45">
      <c r="B46" t="s">
        <v>104</v>
      </c>
    </row>
    <row r="47" spans="2:2" x14ac:dyDescent="0.45">
      <c r="B47" t="s">
        <v>105</v>
      </c>
    </row>
    <row r="48" spans="2:2" x14ac:dyDescent="0.45">
      <c r="B48" t="s">
        <v>106</v>
      </c>
    </row>
  </sheetData>
  <mergeCells count="2">
    <mergeCell ref="A1:G1"/>
    <mergeCell ref="A12:G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F7917-FBF2-4585-9E1E-AB3B9F99C907}">
  <dimension ref="A1:H42"/>
  <sheetViews>
    <sheetView showGridLines="0" workbookViewId="0">
      <selection activeCell="C42" sqref="C42"/>
    </sheetView>
  </sheetViews>
  <sheetFormatPr defaultColWidth="10.19921875" defaultRowHeight="14.25" x14ac:dyDescent="0.45"/>
  <cols>
    <col min="1" max="2" width="8.6640625" customWidth="1"/>
    <col min="3" max="3" width="32.59765625" customWidth="1"/>
    <col min="4" max="4" width="22.3984375" bestFit="1" customWidth="1"/>
    <col min="5" max="5" width="10.6640625" customWidth="1"/>
    <col min="6" max="6" width="13.86328125" customWidth="1"/>
    <col min="7" max="7" width="28.53125" customWidth="1"/>
    <col min="8" max="8" width="26.06640625" customWidth="1"/>
  </cols>
  <sheetData>
    <row r="1" spans="1:8" x14ac:dyDescent="0.45">
      <c r="A1" s="20" t="s">
        <v>1</v>
      </c>
      <c r="B1" s="20" t="s">
        <v>49</v>
      </c>
      <c r="C1" s="20" t="s">
        <v>20</v>
      </c>
      <c r="D1" s="20" t="s">
        <v>26</v>
      </c>
      <c r="E1" s="20" t="s">
        <v>50</v>
      </c>
      <c r="F1" s="20" t="s">
        <v>23</v>
      </c>
      <c r="G1" s="20" t="s">
        <v>55</v>
      </c>
      <c r="H1" s="20" t="s">
        <v>110</v>
      </c>
    </row>
    <row r="2" spans="1:8" x14ac:dyDescent="0.45">
      <c r="A2" s="21">
        <v>2013</v>
      </c>
      <c r="B2" s="22">
        <v>7.8578110383535932E-2</v>
      </c>
      <c r="C2" s="22">
        <v>0.12051792828685252</v>
      </c>
      <c r="D2" s="22">
        <v>7.4999999999999969E-2</v>
      </c>
      <c r="E2" s="22">
        <v>5.9377945334590121E-2</v>
      </c>
      <c r="F2" s="22">
        <v>5.5290753098188719E-2</v>
      </c>
      <c r="G2" s="22">
        <v>5.7088487155090392E-2</v>
      </c>
      <c r="H2" s="22">
        <v>6.143667296786403E-2</v>
      </c>
    </row>
    <row r="3" spans="1:8" x14ac:dyDescent="0.45">
      <c r="A3" s="21">
        <v>2014</v>
      </c>
      <c r="B3" s="22">
        <v>6.0292850990525414E-2</v>
      </c>
      <c r="C3" s="22">
        <v>4.3286219081272011E-2</v>
      </c>
      <c r="D3" s="22">
        <v>6.8750000000000019E-2</v>
      </c>
      <c r="E3" s="22">
        <v>4.6222222222222248E-2</v>
      </c>
      <c r="F3" s="22">
        <v>4.5863309352517936E-2</v>
      </c>
      <c r="G3" s="22">
        <v>-2.4236983842010795E-2</v>
      </c>
      <c r="H3" s="22">
        <v>4.0372670807453388E-2</v>
      </c>
    </row>
    <row r="4" spans="1:8" x14ac:dyDescent="0.45">
      <c r="A4" s="21">
        <v>2015</v>
      </c>
      <c r="B4" s="22">
        <v>5.2674230145867099E-2</v>
      </c>
      <c r="C4" s="22">
        <v>4.8903878583473961E-2</v>
      </c>
      <c r="D4" s="22">
        <v>5.4121565362198171E-2</v>
      </c>
      <c r="E4" s="22">
        <v>4.0574809805579017E-2</v>
      </c>
      <c r="F4" s="22">
        <v>4.9700085689802886E-2</v>
      </c>
      <c r="G4" s="22">
        <v>1.364877161055505E-2</v>
      </c>
      <c r="H4" s="22">
        <v>5.1555176821474202E-2</v>
      </c>
    </row>
    <row r="5" spans="1:8" x14ac:dyDescent="0.45">
      <c r="A5" s="21">
        <v>2016</v>
      </c>
      <c r="B5" s="22">
        <v>2.465331278890592E-2</v>
      </c>
      <c r="C5" s="22">
        <v>4.483586869495592E-2</v>
      </c>
      <c r="D5" s="22">
        <v>5.1221434200157602E-2</v>
      </c>
      <c r="E5" s="22">
        <v>4.4934640522875817E-2</v>
      </c>
      <c r="F5" s="22">
        <v>3.6615134255492267E-2</v>
      </c>
      <c r="G5" s="22">
        <v>5.8611361587015326E-2</v>
      </c>
      <c r="H5" s="22">
        <v>4.3179983857949911E-2</v>
      </c>
    </row>
    <row r="6" spans="1:8" x14ac:dyDescent="0.45">
      <c r="A6" s="21">
        <v>2017</v>
      </c>
      <c r="B6" s="22">
        <v>3.3809166040571E-2</v>
      </c>
      <c r="C6" s="22">
        <v>7.7803203661327369E-2</v>
      </c>
      <c r="D6" s="22">
        <v>3.8863976083706939E-2</v>
      </c>
      <c r="E6" s="22">
        <v>5.8869093725793915E-2</v>
      </c>
      <c r="F6" s="22">
        <v>4.6948356807511853E-2</v>
      </c>
      <c r="G6" s="22">
        <v>2.2108843537415039E-2</v>
      </c>
      <c r="H6" s="22">
        <v>4.3629343629343675E-2</v>
      </c>
    </row>
    <row r="7" spans="1:8" x14ac:dyDescent="0.45">
      <c r="A7" s="21">
        <v>2018</v>
      </c>
      <c r="B7" s="22">
        <v>2.1865889212828817E-3</v>
      </c>
      <c r="C7" s="22">
        <v>4.5774647887323945E-2</v>
      </c>
      <c r="D7" s="22">
        <v>7.5107296137339047E-2</v>
      </c>
      <c r="E7" s="22">
        <v>1.3919413919413962E-2</v>
      </c>
      <c r="F7" s="22">
        <v>8.4139985107967108E-2</v>
      </c>
      <c r="G7" s="22">
        <v>2.3966942148760377E-2</v>
      </c>
      <c r="H7" s="22">
        <v>3.4279395503133317E-2</v>
      </c>
    </row>
    <row r="8" spans="1:8" x14ac:dyDescent="0.45">
      <c r="A8" s="21">
        <v>2019</v>
      </c>
      <c r="B8" s="22">
        <v>8.9790007241129663E-2</v>
      </c>
      <c r="C8" s="22">
        <v>3.8926174496644372E-2</v>
      </c>
      <c r="D8" s="22">
        <v>3.9254823685961254E-2</v>
      </c>
      <c r="E8" s="22">
        <v>5.368647100930566E-2</v>
      </c>
      <c r="F8" s="22">
        <v>3.761969904240766E-2</v>
      </c>
      <c r="G8" s="22">
        <v>4.5746388443017795E-2</v>
      </c>
      <c r="H8" s="22">
        <v>4.5697965012495373E-2</v>
      </c>
    </row>
    <row r="9" spans="1:8" x14ac:dyDescent="0.45">
      <c r="A9" s="21">
        <v>2020</v>
      </c>
      <c r="B9" s="22">
        <v>5.3727333781061114E-2</v>
      </c>
      <c r="C9" s="22">
        <v>3.4304207119741172E-2</v>
      </c>
      <c r="D9" s="22">
        <v>2.1780909673286393E-2</v>
      </c>
      <c r="E9" s="22">
        <v>2.3505708529214239E-2</v>
      </c>
      <c r="F9" s="22">
        <v>5.9093893630991462E-2</v>
      </c>
      <c r="G9" s="22">
        <v>0.11701308698999222</v>
      </c>
      <c r="H9" s="22">
        <v>5.6271186440678043E-2</v>
      </c>
    </row>
    <row r="10" spans="1:8" x14ac:dyDescent="0.45">
      <c r="A10" s="21">
        <v>2021</v>
      </c>
      <c r="B10" s="22">
        <v>6.0625398851308236E-2</v>
      </c>
      <c r="C10" s="22">
        <v>3.5021888680425231E-2</v>
      </c>
      <c r="D10" s="22">
        <v>3.2459425717852791E-2</v>
      </c>
      <c r="E10" s="22">
        <v>6.559485530546616E-2</v>
      </c>
      <c r="F10" s="22">
        <v>6.4935064935064943E-2</v>
      </c>
      <c r="G10" s="22">
        <v>7.3187414500684111E-2</v>
      </c>
      <c r="H10" s="22">
        <v>7.6724693745970185E-2</v>
      </c>
    </row>
    <row r="11" spans="1:8" x14ac:dyDescent="0.45">
      <c r="A11" s="21">
        <v>2022</v>
      </c>
      <c r="B11" s="22">
        <v>5.1068883610451268E-2</v>
      </c>
      <c r="C11" s="22">
        <v>4.9606775559588555E-2</v>
      </c>
      <c r="D11" s="22">
        <v>5.4216867469879519E-2</v>
      </c>
      <c r="E11" s="22">
        <v>8.9114832535885202E-2</v>
      </c>
      <c r="F11" s="22">
        <v>6.589595375722547E-2</v>
      </c>
      <c r="G11" s="22">
        <v>3.9898670044331744E-2</v>
      </c>
      <c r="H11" s="22">
        <v>8.2175583801359947E-2</v>
      </c>
    </row>
    <row r="30" spans="1:1" x14ac:dyDescent="0.45">
      <c r="A30" s="19" t="s">
        <v>77</v>
      </c>
    </row>
    <row r="31" spans="1:1" x14ac:dyDescent="0.45">
      <c r="A31" t="s">
        <v>97</v>
      </c>
    </row>
    <row r="32" spans="1:1" x14ac:dyDescent="0.45">
      <c r="A32" t="s">
        <v>98</v>
      </c>
    </row>
    <row r="33" spans="1:1" x14ac:dyDescent="0.45">
      <c r="A33" t="s">
        <v>118</v>
      </c>
    </row>
    <row r="34" spans="1:1" x14ac:dyDescent="0.45">
      <c r="A34" t="s">
        <v>119</v>
      </c>
    </row>
    <row r="35" spans="1:1" x14ac:dyDescent="0.45">
      <c r="A35" t="s">
        <v>99</v>
      </c>
    </row>
    <row r="36" spans="1:1" x14ac:dyDescent="0.45">
      <c r="A36" t="s">
        <v>107</v>
      </c>
    </row>
    <row r="38" spans="1:1" x14ac:dyDescent="0.45">
      <c r="A38" s="19" t="s">
        <v>100</v>
      </c>
    </row>
    <row r="39" spans="1:1" x14ac:dyDescent="0.45">
      <c r="A39" t="s">
        <v>133</v>
      </c>
    </row>
    <row r="40" spans="1:1" x14ac:dyDescent="0.45">
      <c r="A40" t="s">
        <v>134</v>
      </c>
    </row>
    <row r="41" spans="1:1" x14ac:dyDescent="0.45">
      <c r="A41" t="s">
        <v>135</v>
      </c>
    </row>
    <row r="42" spans="1:1" x14ac:dyDescent="0.45">
      <c r="A42" t="s">
        <v>136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36A7-5453-4E15-ADDC-3E2F7BDDF120}">
  <dimension ref="A1:P53"/>
  <sheetViews>
    <sheetView workbookViewId="0">
      <selection activeCell="C14" sqref="C14"/>
    </sheetView>
  </sheetViews>
  <sheetFormatPr defaultColWidth="9.1328125" defaultRowHeight="15.4" x14ac:dyDescent="0.45"/>
  <cols>
    <col min="1" max="1" width="9" style="63" customWidth="1"/>
    <col min="2" max="5" width="8.59765625" style="47" customWidth="1"/>
    <col min="6" max="6" width="9.73046875" style="47" customWidth="1"/>
    <col min="7" max="7" width="11.265625" style="47" bestFit="1" customWidth="1"/>
    <col min="8" max="8" width="8.59765625" style="47" customWidth="1"/>
    <col min="9" max="10" width="10.73046875" style="47" customWidth="1"/>
    <col min="11" max="11" width="8.59765625" style="47" customWidth="1"/>
    <col min="12" max="12" width="9.73046875" style="47" bestFit="1" customWidth="1"/>
    <col min="13" max="13" width="8.59765625" style="47" customWidth="1"/>
    <col min="14" max="14" width="9.3984375" style="47" bestFit="1" customWidth="1"/>
    <col min="15" max="15" width="13.1328125" style="47" customWidth="1"/>
    <col min="16" max="256" width="9.1328125" style="47"/>
    <col min="257" max="257" width="9" style="47" customWidth="1"/>
    <col min="258" max="261" width="8.59765625" style="47" customWidth="1"/>
    <col min="262" max="262" width="9.73046875" style="47" customWidth="1"/>
    <col min="263" max="263" width="11.265625" style="47" bestFit="1" customWidth="1"/>
    <col min="264" max="264" width="8.59765625" style="47" customWidth="1"/>
    <col min="265" max="266" width="10.73046875" style="47" customWidth="1"/>
    <col min="267" max="267" width="8.59765625" style="47" customWidth="1"/>
    <col min="268" max="268" width="9.73046875" style="47" bestFit="1" customWidth="1"/>
    <col min="269" max="269" width="8.59765625" style="47" customWidth="1"/>
    <col min="270" max="270" width="9.3984375" style="47" bestFit="1" customWidth="1"/>
    <col min="271" max="271" width="13.1328125" style="47" customWidth="1"/>
    <col min="272" max="512" width="9.1328125" style="47"/>
    <col min="513" max="513" width="9" style="47" customWidth="1"/>
    <col min="514" max="517" width="8.59765625" style="47" customWidth="1"/>
    <col min="518" max="518" width="9.73046875" style="47" customWidth="1"/>
    <col min="519" max="519" width="11.265625" style="47" bestFit="1" customWidth="1"/>
    <col min="520" max="520" width="8.59765625" style="47" customWidth="1"/>
    <col min="521" max="522" width="10.73046875" style="47" customWidth="1"/>
    <col min="523" max="523" width="8.59765625" style="47" customWidth="1"/>
    <col min="524" max="524" width="9.73046875" style="47" bestFit="1" customWidth="1"/>
    <col min="525" max="525" width="8.59765625" style="47" customWidth="1"/>
    <col min="526" max="526" width="9.3984375" style="47" bestFit="1" customWidth="1"/>
    <col min="527" max="527" width="13.1328125" style="47" customWidth="1"/>
    <col min="528" max="768" width="9.1328125" style="47"/>
    <col min="769" max="769" width="9" style="47" customWidth="1"/>
    <col min="770" max="773" width="8.59765625" style="47" customWidth="1"/>
    <col min="774" max="774" width="9.73046875" style="47" customWidth="1"/>
    <col min="775" max="775" width="11.265625" style="47" bestFit="1" customWidth="1"/>
    <col min="776" max="776" width="8.59765625" style="47" customWidth="1"/>
    <col min="777" max="778" width="10.73046875" style="47" customWidth="1"/>
    <col min="779" max="779" width="8.59765625" style="47" customWidth="1"/>
    <col min="780" max="780" width="9.73046875" style="47" bestFit="1" customWidth="1"/>
    <col min="781" max="781" width="8.59765625" style="47" customWidth="1"/>
    <col min="782" max="782" width="9.3984375" style="47" bestFit="1" customWidth="1"/>
    <col min="783" max="783" width="13.1328125" style="47" customWidth="1"/>
    <col min="784" max="1024" width="9.1328125" style="47"/>
    <col min="1025" max="1025" width="9" style="47" customWidth="1"/>
    <col min="1026" max="1029" width="8.59765625" style="47" customWidth="1"/>
    <col min="1030" max="1030" width="9.73046875" style="47" customWidth="1"/>
    <col min="1031" max="1031" width="11.265625" style="47" bestFit="1" customWidth="1"/>
    <col min="1032" max="1032" width="8.59765625" style="47" customWidth="1"/>
    <col min="1033" max="1034" width="10.73046875" style="47" customWidth="1"/>
    <col min="1035" max="1035" width="8.59765625" style="47" customWidth="1"/>
    <col min="1036" max="1036" width="9.73046875" style="47" bestFit="1" customWidth="1"/>
    <col min="1037" max="1037" width="8.59765625" style="47" customWidth="1"/>
    <col min="1038" max="1038" width="9.3984375" style="47" bestFit="1" customWidth="1"/>
    <col min="1039" max="1039" width="13.1328125" style="47" customWidth="1"/>
    <col min="1040" max="1280" width="9.1328125" style="47"/>
    <col min="1281" max="1281" width="9" style="47" customWidth="1"/>
    <col min="1282" max="1285" width="8.59765625" style="47" customWidth="1"/>
    <col min="1286" max="1286" width="9.73046875" style="47" customWidth="1"/>
    <col min="1287" max="1287" width="11.265625" style="47" bestFit="1" customWidth="1"/>
    <col min="1288" max="1288" width="8.59765625" style="47" customWidth="1"/>
    <col min="1289" max="1290" width="10.73046875" style="47" customWidth="1"/>
    <col min="1291" max="1291" width="8.59765625" style="47" customWidth="1"/>
    <col min="1292" max="1292" width="9.73046875" style="47" bestFit="1" customWidth="1"/>
    <col min="1293" max="1293" width="8.59765625" style="47" customWidth="1"/>
    <col min="1294" max="1294" width="9.3984375" style="47" bestFit="1" customWidth="1"/>
    <col min="1295" max="1295" width="13.1328125" style="47" customWidth="1"/>
    <col min="1296" max="1536" width="9.1328125" style="47"/>
    <col min="1537" max="1537" width="9" style="47" customWidth="1"/>
    <col min="1538" max="1541" width="8.59765625" style="47" customWidth="1"/>
    <col min="1542" max="1542" width="9.73046875" style="47" customWidth="1"/>
    <col min="1543" max="1543" width="11.265625" style="47" bestFit="1" customWidth="1"/>
    <col min="1544" max="1544" width="8.59765625" style="47" customWidth="1"/>
    <col min="1545" max="1546" width="10.73046875" style="47" customWidth="1"/>
    <col min="1547" max="1547" width="8.59765625" style="47" customWidth="1"/>
    <col min="1548" max="1548" width="9.73046875" style="47" bestFit="1" customWidth="1"/>
    <col min="1549" max="1549" width="8.59765625" style="47" customWidth="1"/>
    <col min="1550" max="1550" width="9.3984375" style="47" bestFit="1" customWidth="1"/>
    <col min="1551" max="1551" width="13.1328125" style="47" customWidth="1"/>
    <col min="1552" max="1792" width="9.1328125" style="47"/>
    <col min="1793" max="1793" width="9" style="47" customWidth="1"/>
    <col min="1794" max="1797" width="8.59765625" style="47" customWidth="1"/>
    <col min="1798" max="1798" width="9.73046875" style="47" customWidth="1"/>
    <col min="1799" max="1799" width="11.265625" style="47" bestFit="1" customWidth="1"/>
    <col min="1800" max="1800" width="8.59765625" style="47" customWidth="1"/>
    <col min="1801" max="1802" width="10.73046875" style="47" customWidth="1"/>
    <col min="1803" max="1803" width="8.59765625" style="47" customWidth="1"/>
    <col min="1804" max="1804" width="9.73046875" style="47" bestFit="1" customWidth="1"/>
    <col min="1805" max="1805" width="8.59765625" style="47" customWidth="1"/>
    <col min="1806" max="1806" width="9.3984375" style="47" bestFit="1" customWidth="1"/>
    <col min="1807" max="1807" width="13.1328125" style="47" customWidth="1"/>
    <col min="1808" max="2048" width="9.1328125" style="47"/>
    <col min="2049" max="2049" width="9" style="47" customWidth="1"/>
    <col min="2050" max="2053" width="8.59765625" style="47" customWidth="1"/>
    <col min="2054" max="2054" width="9.73046875" style="47" customWidth="1"/>
    <col min="2055" max="2055" width="11.265625" style="47" bestFit="1" customWidth="1"/>
    <col min="2056" max="2056" width="8.59765625" style="47" customWidth="1"/>
    <col min="2057" max="2058" width="10.73046875" style="47" customWidth="1"/>
    <col min="2059" max="2059" width="8.59765625" style="47" customWidth="1"/>
    <col min="2060" max="2060" width="9.73046875" style="47" bestFit="1" customWidth="1"/>
    <col min="2061" max="2061" width="8.59765625" style="47" customWidth="1"/>
    <col min="2062" max="2062" width="9.3984375" style="47" bestFit="1" customWidth="1"/>
    <col min="2063" max="2063" width="13.1328125" style="47" customWidth="1"/>
    <col min="2064" max="2304" width="9.1328125" style="47"/>
    <col min="2305" max="2305" width="9" style="47" customWidth="1"/>
    <col min="2306" max="2309" width="8.59765625" style="47" customWidth="1"/>
    <col min="2310" max="2310" width="9.73046875" style="47" customWidth="1"/>
    <col min="2311" max="2311" width="11.265625" style="47" bestFit="1" customWidth="1"/>
    <col min="2312" max="2312" width="8.59765625" style="47" customWidth="1"/>
    <col min="2313" max="2314" width="10.73046875" style="47" customWidth="1"/>
    <col min="2315" max="2315" width="8.59765625" style="47" customWidth="1"/>
    <col min="2316" max="2316" width="9.73046875" style="47" bestFit="1" customWidth="1"/>
    <col min="2317" max="2317" width="8.59765625" style="47" customWidth="1"/>
    <col min="2318" max="2318" width="9.3984375" style="47" bestFit="1" customWidth="1"/>
    <col min="2319" max="2319" width="13.1328125" style="47" customWidth="1"/>
    <col min="2320" max="2560" width="9.1328125" style="47"/>
    <col min="2561" max="2561" width="9" style="47" customWidth="1"/>
    <col min="2562" max="2565" width="8.59765625" style="47" customWidth="1"/>
    <col min="2566" max="2566" width="9.73046875" style="47" customWidth="1"/>
    <col min="2567" max="2567" width="11.265625" style="47" bestFit="1" customWidth="1"/>
    <col min="2568" max="2568" width="8.59765625" style="47" customWidth="1"/>
    <col min="2569" max="2570" width="10.73046875" style="47" customWidth="1"/>
    <col min="2571" max="2571" width="8.59765625" style="47" customWidth="1"/>
    <col min="2572" max="2572" width="9.73046875" style="47" bestFit="1" customWidth="1"/>
    <col min="2573" max="2573" width="8.59765625" style="47" customWidth="1"/>
    <col min="2574" max="2574" width="9.3984375" style="47" bestFit="1" customWidth="1"/>
    <col min="2575" max="2575" width="13.1328125" style="47" customWidth="1"/>
    <col min="2576" max="2816" width="9.1328125" style="47"/>
    <col min="2817" max="2817" width="9" style="47" customWidth="1"/>
    <col min="2818" max="2821" width="8.59765625" style="47" customWidth="1"/>
    <col min="2822" max="2822" width="9.73046875" style="47" customWidth="1"/>
    <col min="2823" max="2823" width="11.265625" style="47" bestFit="1" customWidth="1"/>
    <col min="2824" max="2824" width="8.59765625" style="47" customWidth="1"/>
    <col min="2825" max="2826" width="10.73046875" style="47" customWidth="1"/>
    <col min="2827" max="2827" width="8.59765625" style="47" customWidth="1"/>
    <col min="2828" max="2828" width="9.73046875" style="47" bestFit="1" customWidth="1"/>
    <col min="2829" max="2829" width="8.59765625" style="47" customWidth="1"/>
    <col min="2830" max="2830" width="9.3984375" style="47" bestFit="1" customWidth="1"/>
    <col min="2831" max="2831" width="13.1328125" style="47" customWidth="1"/>
    <col min="2832" max="3072" width="9.1328125" style="47"/>
    <col min="3073" max="3073" width="9" style="47" customWidth="1"/>
    <col min="3074" max="3077" width="8.59765625" style="47" customWidth="1"/>
    <col min="3078" max="3078" width="9.73046875" style="47" customWidth="1"/>
    <col min="3079" max="3079" width="11.265625" style="47" bestFit="1" customWidth="1"/>
    <col min="3080" max="3080" width="8.59765625" style="47" customWidth="1"/>
    <col min="3081" max="3082" width="10.73046875" style="47" customWidth="1"/>
    <col min="3083" max="3083" width="8.59765625" style="47" customWidth="1"/>
    <col min="3084" max="3084" width="9.73046875" style="47" bestFit="1" customWidth="1"/>
    <col min="3085" max="3085" width="8.59765625" style="47" customWidth="1"/>
    <col min="3086" max="3086" width="9.3984375" style="47" bestFit="1" customWidth="1"/>
    <col min="3087" max="3087" width="13.1328125" style="47" customWidth="1"/>
    <col min="3088" max="3328" width="9.1328125" style="47"/>
    <col min="3329" max="3329" width="9" style="47" customWidth="1"/>
    <col min="3330" max="3333" width="8.59765625" style="47" customWidth="1"/>
    <col min="3334" max="3334" width="9.73046875" style="47" customWidth="1"/>
    <col min="3335" max="3335" width="11.265625" style="47" bestFit="1" customWidth="1"/>
    <col min="3336" max="3336" width="8.59765625" style="47" customWidth="1"/>
    <col min="3337" max="3338" width="10.73046875" style="47" customWidth="1"/>
    <col min="3339" max="3339" width="8.59765625" style="47" customWidth="1"/>
    <col min="3340" max="3340" width="9.73046875" style="47" bestFit="1" customWidth="1"/>
    <col min="3341" max="3341" width="8.59765625" style="47" customWidth="1"/>
    <col min="3342" max="3342" width="9.3984375" style="47" bestFit="1" customWidth="1"/>
    <col min="3343" max="3343" width="13.1328125" style="47" customWidth="1"/>
    <col min="3344" max="3584" width="9.1328125" style="47"/>
    <col min="3585" max="3585" width="9" style="47" customWidth="1"/>
    <col min="3586" max="3589" width="8.59765625" style="47" customWidth="1"/>
    <col min="3590" max="3590" width="9.73046875" style="47" customWidth="1"/>
    <col min="3591" max="3591" width="11.265625" style="47" bestFit="1" customWidth="1"/>
    <col min="3592" max="3592" width="8.59765625" style="47" customWidth="1"/>
    <col min="3593" max="3594" width="10.73046875" style="47" customWidth="1"/>
    <col min="3595" max="3595" width="8.59765625" style="47" customWidth="1"/>
    <col min="3596" max="3596" width="9.73046875" style="47" bestFit="1" customWidth="1"/>
    <col min="3597" max="3597" width="8.59765625" style="47" customWidth="1"/>
    <col min="3598" max="3598" width="9.3984375" style="47" bestFit="1" customWidth="1"/>
    <col min="3599" max="3599" width="13.1328125" style="47" customWidth="1"/>
    <col min="3600" max="3840" width="9.1328125" style="47"/>
    <col min="3841" max="3841" width="9" style="47" customWidth="1"/>
    <col min="3842" max="3845" width="8.59765625" style="47" customWidth="1"/>
    <col min="3846" max="3846" width="9.73046875" style="47" customWidth="1"/>
    <col min="3847" max="3847" width="11.265625" style="47" bestFit="1" customWidth="1"/>
    <col min="3848" max="3848" width="8.59765625" style="47" customWidth="1"/>
    <col min="3849" max="3850" width="10.73046875" style="47" customWidth="1"/>
    <col min="3851" max="3851" width="8.59765625" style="47" customWidth="1"/>
    <col min="3852" max="3852" width="9.73046875" style="47" bestFit="1" customWidth="1"/>
    <col min="3853" max="3853" width="8.59765625" style="47" customWidth="1"/>
    <col min="3854" max="3854" width="9.3984375" style="47" bestFit="1" customWidth="1"/>
    <col min="3855" max="3855" width="13.1328125" style="47" customWidth="1"/>
    <col min="3856" max="4096" width="9.1328125" style="47"/>
    <col min="4097" max="4097" width="9" style="47" customWidth="1"/>
    <col min="4098" max="4101" width="8.59765625" style="47" customWidth="1"/>
    <col min="4102" max="4102" width="9.73046875" style="47" customWidth="1"/>
    <col min="4103" max="4103" width="11.265625" style="47" bestFit="1" customWidth="1"/>
    <col min="4104" max="4104" width="8.59765625" style="47" customWidth="1"/>
    <col min="4105" max="4106" width="10.73046875" style="47" customWidth="1"/>
    <col min="4107" max="4107" width="8.59765625" style="47" customWidth="1"/>
    <col min="4108" max="4108" width="9.73046875" style="47" bestFit="1" customWidth="1"/>
    <col min="4109" max="4109" width="8.59765625" style="47" customWidth="1"/>
    <col min="4110" max="4110" width="9.3984375" style="47" bestFit="1" customWidth="1"/>
    <col min="4111" max="4111" width="13.1328125" style="47" customWidth="1"/>
    <col min="4112" max="4352" width="9.1328125" style="47"/>
    <col min="4353" max="4353" width="9" style="47" customWidth="1"/>
    <col min="4354" max="4357" width="8.59765625" style="47" customWidth="1"/>
    <col min="4358" max="4358" width="9.73046875" style="47" customWidth="1"/>
    <col min="4359" max="4359" width="11.265625" style="47" bestFit="1" customWidth="1"/>
    <col min="4360" max="4360" width="8.59765625" style="47" customWidth="1"/>
    <col min="4361" max="4362" width="10.73046875" style="47" customWidth="1"/>
    <col min="4363" max="4363" width="8.59765625" style="47" customWidth="1"/>
    <col min="4364" max="4364" width="9.73046875" style="47" bestFit="1" customWidth="1"/>
    <col min="4365" max="4365" width="8.59765625" style="47" customWidth="1"/>
    <col min="4366" max="4366" width="9.3984375" style="47" bestFit="1" customWidth="1"/>
    <col min="4367" max="4367" width="13.1328125" style="47" customWidth="1"/>
    <col min="4368" max="4608" width="9.1328125" style="47"/>
    <col min="4609" max="4609" width="9" style="47" customWidth="1"/>
    <col min="4610" max="4613" width="8.59765625" style="47" customWidth="1"/>
    <col min="4614" max="4614" width="9.73046875" style="47" customWidth="1"/>
    <col min="4615" max="4615" width="11.265625" style="47" bestFit="1" customWidth="1"/>
    <col min="4616" max="4616" width="8.59765625" style="47" customWidth="1"/>
    <col min="4617" max="4618" width="10.73046875" style="47" customWidth="1"/>
    <col min="4619" max="4619" width="8.59765625" style="47" customWidth="1"/>
    <col min="4620" max="4620" width="9.73046875" style="47" bestFit="1" customWidth="1"/>
    <col min="4621" max="4621" width="8.59765625" style="47" customWidth="1"/>
    <col min="4622" max="4622" width="9.3984375" style="47" bestFit="1" customWidth="1"/>
    <col min="4623" max="4623" width="13.1328125" style="47" customWidth="1"/>
    <col min="4624" max="4864" width="9.1328125" style="47"/>
    <col min="4865" max="4865" width="9" style="47" customWidth="1"/>
    <col min="4866" max="4869" width="8.59765625" style="47" customWidth="1"/>
    <col min="4870" max="4870" width="9.73046875" style="47" customWidth="1"/>
    <col min="4871" max="4871" width="11.265625" style="47" bestFit="1" customWidth="1"/>
    <col min="4872" max="4872" width="8.59765625" style="47" customWidth="1"/>
    <col min="4873" max="4874" width="10.73046875" style="47" customWidth="1"/>
    <col min="4875" max="4875" width="8.59765625" style="47" customWidth="1"/>
    <col min="4876" max="4876" width="9.73046875" style="47" bestFit="1" customWidth="1"/>
    <col min="4877" max="4877" width="8.59765625" style="47" customWidth="1"/>
    <col min="4878" max="4878" width="9.3984375" style="47" bestFit="1" customWidth="1"/>
    <col min="4879" max="4879" width="13.1328125" style="47" customWidth="1"/>
    <col min="4880" max="5120" width="9.1328125" style="47"/>
    <col min="5121" max="5121" width="9" style="47" customWidth="1"/>
    <col min="5122" max="5125" width="8.59765625" style="47" customWidth="1"/>
    <col min="5126" max="5126" width="9.73046875" style="47" customWidth="1"/>
    <col min="5127" max="5127" width="11.265625" style="47" bestFit="1" customWidth="1"/>
    <col min="5128" max="5128" width="8.59765625" style="47" customWidth="1"/>
    <col min="5129" max="5130" width="10.73046875" style="47" customWidth="1"/>
    <col min="5131" max="5131" width="8.59765625" style="47" customWidth="1"/>
    <col min="5132" max="5132" width="9.73046875" style="47" bestFit="1" customWidth="1"/>
    <col min="5133" max="5133" width="8.59765625" style="47" customWidth="1"/>
    <col min="5134" max="5134" width="9.3984375" style="47" bestFit="1" customWidth="1"/>
    <col min="5135" max="5135" width="13.1328125" style="47" customWidth="1"/>
    <col min="5136" max="5376" width="9.1328125" style="47"/>
    <col min="5377" max="5377" width="9" style="47" customWidth="1"/>
    <col min="5378" max="5381" width="8.59765625" style="47" customWidth="1"/>
    <col min="5382" max="5382" width="9.73046875" style="47" customWidth="1"/>
    <col min="5383" max="5383" width="11.265625" style="47" bestFit="1" customWidth="1"/>
    <col min="5384" max="5384" width="8.59765625" style="47" customWidth="1"/>
    <col min="5385" max="5386" width="10.73046875" style="47" customWidth="1"/>
    <col min="5387" max="5387" width="8.59765625" style="47" customWidth="1"/>
    <col min="5388" max="5388" width="9.73046875" style="47" bestFit="1" customWidth="1"/>
    <col min="5389" max="5389" width="8.59765625" style="47" customWidth="1"/>
    <col min="5390" max="5390" width="9.3984375" style="47" bestFit="1" customWidth="1"/>
    <col min="5391" max="5391" width="13.1328125" style="47" customWidth="1"/>
    <col min="5392" max="5632" width="9.1328125" style="47"/>
    <col min="5633" max="5633" width="9" style="47" customWidth="1"/>
    <col min="5634" max="5637" width="8.59765625" style="47" customWidth="1"/>
    <col min="5638" max="5638" width="9.73046875" style="47" customWidth="1"/>
    <col min="5639" max="5639" width="11.265625" style="47" bestFit="1" customWidth="1"/>
    <col min="5640" max="5640" width="8.59765625" style="47" customWidth="1"/>
    <col min="5641" max="5642" width="10.73046875" style="47" customWidth="1"/>
    <col min="5643" max="5643" width="8.59765625" style="47" customWidth="1"/>
    <col min="5644" max="5644" width="9.73046875" style="47" bestFit="1" customWidth="1"/>
    <col min="5645" max="5645" width="8.59765625" style="47" customWidth="1"/>
    <col min="5646" max="5646" width="9.3984375" style="47" bestFit="1" customWidth="1"/>
    <col min="5647" max="5647" width="13.1328125" style="47" customWidth="1"/>
    <col min="5648" max="5888" width="9.1328125" style="47"/>
    <col min="5889" max="5889" width="9" style="47" customWidth="1"/>
    <col min="5890" max="5893" width="8.59765625" style="47" customWidth="1"/>
    <col min="5894" max="5894" width="9.73046875" style="47" customWidth="1"/>
    <col min="5895" max="5895" width="11.265625" style="47" bestFit="1" customWidth="1"/>
    <col min="5896" max="5896" width="8.59765625" style="47" customWidth="1"/>
    <col min="5897" max="5898" width="10.73046875" style="47" customWidth="1"/>
    <col min="5899" max="5899" width="8.59765625" style="47" customWidth="1"/>
    <col min="5900" max="5900" width="9.73046875" style="47" bestFit="1" customWidth="1"/>
    <col min="5901" max="5901" width="8.59765625" style="47" customWidth="1"/>
    <col min="5902" max="5902" width="9.3984375" style="47" bestFit="1" customWidth="1"/>
    <col min="5903" max="5903" width="13.1328125" style="47" customWidth="1"/>
    <col min="5904" max="6144" width="9.1328125" style="47"/>
    <col min="6145" max="6145" width="9" style="47" customWidth="1"/>
    <col min="6146" max="6149" width="8.59765625" style="47" customWidth="1"/>
    <col min="6150" max="6150" width="9.73046875" style="47" customWidth="1"/>
    <col min="6151" max="6151" width="11.265625" style="47" bestFit="1" customWidth="1"/>
    <col min="6152" max="6152" width="8.59765625" style="47" customWidth="1"/>
    <col min="6153" max="6154" width="10.73046875" style="47" customWidth="1"/>
    <col min="6155" max="6155" width="8.59765625" style="47" customWidth="1"/>
    <col min="6156" max="6156" width="9.73046875" style="47" bestFit="1" customWidth="1"/>
    <col min="6157" max="6157" width="8.59765625" style="47" customWidth="1"/>
    <col min="6158" max="6158" width="9.3984375" style="47" bestFit="1" customWidth="1"/>
    <col min="6159" max="6159" width="13.1328125" style="47" customWidth="1"/>
    <col min="6160" max="6400" width="9.1328125" style="47"/>
    <col min="6401" max="6401" width="9" style="47" customWidth="1"/>
    <col min="6402" max="6405" width="8.59765625" style="47" customWidth="1"/>
    <col min="6406" max="6406" width="9.73046875" style="47" customWidth="1"/>
    <col min="6407" max="6407" width="11.265625" style="47" bestFit="1" customWidth="1"/>
    <col min="6408" max="6408" width="8.59765625" style="47" customWidth="1"/>
    <col min="6409" max="6410" width="10.73046875" style="47" customWidth="1"/>
    <col min="6411" max="6411" width="8.59765625" style="47" customWidth="1"/>
    <col min="6412" max="6412" width="9.73046875" style="47" bestFit="1" customWidth="1"/>
    <col min="6413" max="6413" width="8.59765625" style="47" customWidth="1"/>
    <col min="6414" max="6414" width="9.3984375" style="47" bestFit="1" customWidth="1"/>
    <col min="6415" max="6415" width="13.1328125" style="47" customWidth="1"/>
    <col min="6416" max="6656" width="9.1328125" style="47"/>
    <col min="6657" max="6657" width="9" style="47" customWidth="1"/>
    <col min="6658" max="6661" width="8.59765625" style="47" customWidth="1"/>
    <col min="6662" max="6662" width="9.73046875" style="47" customWidth="1"/>
    <col min="6663" max="6663" width="11.265625" style="47" bestFit="1" customWidth="1"/>
    <col min="6664" max="6664" width="8.59765625" style="47" customWidth="1"/>
    <col min="6665" max="6666" width="10.73046875" style="47" customWidth="1"/>
    <col min="6667" max="6667" width="8.59765625" style="47" customWidth="1"/>
    <col min="6668" max="6668" width="9.73046875" style="47" bestFit="1" customWidth="1"/>
    <col min="6669" max="6669" width="8.59765625" style="47" customWidth="1"/>
    <col min="6670" max="6670" width="9.3984375" style="47" bestFit="1" customWidth="1"/>
    <col min="6671" max="6671" width="13.1328125" style="47" customWidth="1"/>
    <col min="6672" max="6912" width="9.1328125" style="47"/>
    <col min="6913" max="6913" width="9" style="47" customWidth="1"/>
    <col min="6914" max="6917" width="8.59765625" style="47" customWidth="1"/>
    <col min="6918" max="6918" width="9.73046875" style="47" customWidth="1"/>
    <col min="6919" max="6919" width="11.265625" style="47" bestFit="1" customWidth="1"/>
    <col min="6920" max="6920" width="8.59765625" style="47" customWidth="1"/>
    <col min="6921" max="6922" width="10.73046875" style="47" customWidth="1"/>
    <col min="6923" max="6923" width="8.59765625" style="47" customWidth="1"/>
    <col min="6924" max="6924" width="9.73046875" style="47" bestFit="1" customWidth="1"/>
    <col min="6925" max="6925" width="8.59765625" style="47" customWidth="1"/>
    <col min="6926" max="6926" width="9.3984375" style="47" bestFit="1" customWidth="1"/>
    <col min="6927" max="6927" width="13.1328125" style="47" customWidth="1"/>
    <col min="6928" max="7168" width="9.1328125" style="47"/>
    <col min="7169" max="7169" width="9" style="47" customWidth="1"/>
    <col min="7170" max="7173" width="8.59765625" style="47" customWidth="1"/>
    <col min="7174" max="7174" width="9.73046875" style="47" customWidth="1"/>
    <col min="7175" max="7175" width="11.265625" style="47" bestFit="1" customWidth="1"/>
    <col min="7176" max="7176" width="8.59765625" style="47" customWidth="1"/>
    <col min="7177" max="7178" width="10.73046875" style="47" customWidth="1"/>
    <col min="7179" max="7179" width="8.59765625" style="47" customWidth="1"/>
    <col min="7180" max="7180" width="9.73046875" style="47" bestFit="1" customWidth="1"/>
    <col min="7181" max="7181" width="8.59765625" style="47" customWidth="1"/>
    <col min="7182" max="7182" width="9.3984375" style="47" bestFit="1" customWidth="1"/>
    <col min="7183" max="7183" width="13.1328125" style="47" customWidth="1"/>
    <col min="7184" max="7424" width="9.1328125" style="47"/>
    <col min="7425" max="7425" width="9" style="47" customWidth="1"/>
    <col min="7426" max="7429" width="8.59765625" style="47" customWidth="1"/>
    <col min="7430" max="7430" width="9.73046875" style="47" customWidth="1"/>
    <col min="7431" max="7431" width="11.265625" style="47" bestFit="1" customWidth="1"/>
    <col min="7432" max="7432" width="8.59765625" style="47" customWidth="1"/>
    <col min="7433" max="7434" width="10.73046875" style="47" customWidth="1"/>
    <col min="7435" max="7435" width="8.59765625" style="47" customWidth="1"/>
    <col min="7436" max="7436" width="9.73046875" style="47" bestFit="1" customWidth="1"/>
    <col min="7437" max="7437" width="8.59765625" style="47" customWidth="1"/>
    <col min="7438" max="7438" width="9.3984375" style="47" bestFit="1" customWidth="1"/>
    <col min="7439" max="7439" width="13.1328125" style="47" customWidth="1"/>
    <col min="7440" max="7680" width="9.1328125" style="47"/>
    <col min="7681" max="7681" width="9" style="47" customWidth="1"/>
    <col min="7682" max="7685" width="8.59765625" style="47" customWidth="1"/>
    <col min="7686" max="7686" width="9.73046875" style="47" customWidth="1"/>
    <col min="7687" max="7687" width="11.265625" style="47" bestFit="1" customWidth="1"/>
    <col min="7688" max="7688" width="8.59765625" style="47" customWidth="1"/>
    <col min="7689" max="7690" width="10.73046875" style="47" customWidth="1"/>
    <col min="7691" max="7691" width="8.59765625" style="47" customWidth="1"/>
    <col min="7692" max="7692" width="9.73046875" style="47" bestFit="1" customWidth="1"/>
    <col min="7693" max="7693" width="8.59765625" style="47" customWidth="1"/>
    <col min="7694" max="7694" width="9.3984375" style="47" bestFit="1" customWidth="1"/>
    <col min="7695" max="7695" width="13.1328125" style="47" customWidth="1"/>
    <col min="7696" max="7936" width="9.1328125" style="47"/>
    <col min="7937" max="7937" width="9" style="47" customWidth="1"/>
    <col min="7938" max="7941" width="8.59765625" style="47" customWidth="1"/>
    <col min="7942" max="7942" width="9.73046875" style="47" customWidth="1"/>
    <col min="7943" max="7943" width="11.265625" style="47" bestFit="1" customWidth="1"/>
    <col min="7944" max="7944" width="8.59765625" style="47" customWidth="1"/>
    <col min="7945" max="7946" width="10.73046875" style="47" customWidth="1"/>
    <col min="7947" max="7947" width="8.59765625" style="47" customWidth="1"/>
    <col min="7948" max="7948" width="9.73046875" style="47" bestFit="1" customWidth="1"/>
    <col min="7949" max="7949" width="8.59765625" style="47" customWidth="1"/>
    <col min="7950" max="7950" width="9.3984375" style="47" bestFit="1" customWidth="1"/>
    <col min="7951" max="7951" width="13.1328125" style="47" customWidth="1"/>
    <col min="7952" max="8192" width="9.1328125" style="47"/>
    <col min="8193" max="8193" width="9" style="47" customWidth="1"/>
    <col min="8194" max="8197" width="8.59765625" style="47" customWidth="1"/>
    <col min="8198" max="8198" width="9.73046875" style="47" customWidth="1"/>
    <col min="8199" max="8199" width="11.265625" style="47" bestFit="1" customWidth="1"/>
    <col min="8200" max="8200" width="8.59765625" style="47" customWidth="1"/>
    <col min="8201" max="8202" width="10.73046875" style="47" customWidth="1"/>
    <col min="8203" max="8203" width="8.59765625" style="47" customWidth="1"/>
    <col min="8204" max="8204" width="9.73046875" style="47" bestFit="1" customWidth="1"/>
    <col min="8205" max="8205" width="8.59765625" style="47" customWidth="1"/>
    <col min="8206" max="8206" width="9.3984375" style="47" bestFit="1" customWidth="1"/>
    <col min="8207" max="8207" width="13.1328125" style="47" customWidth="1"/>
    <col min="8208" max="8448" width="9.1328125" style="47"/>
    <col min="8449" max="8449" width="9" style="47" customWidth="1"/>
    <col min="8450" max="8453" width="8.59765625" style="47" customWidth="1"/>
    <col min="8454" max="8454" width="9.73046875" style="47" customWidth="1"/>
    <col min="8455" max="8455" width="11.265625" style="47" bestFit="1" customWidth="1"/>
    <col min="8456" max="8456" width="8.59765625" style="47" customWidth="1"/>
    <col min="8457" max="8458" width="10.73046875" style="47" customWidth="1"/>
    <col min="8459" max="8459" width="8.59765625" style="47" customWidth="1"/>
    <col min="8460" max="8460" width="9.73046875" style="47" bestFit="1" customWidth="1"/>
    <col min="8461" max="8461" width="8.59765625" style="47" customWidth="1"/>
    <col min="8462" max="8462" width="9.3984375" style="47" bestFit="1" customWidth="1"/>
    <col min="8463" max="8463" width="13.1328125" style="47" customWidth="1"/>
    <col min="8464" max="8704" width="9.1328125" style="47"/>
    <col min="8705" max="8705" width="9" style="47" customWidth="1"/>
    <col min="8706" max="8709" width="8.59765625" style="47" customWidth="1"/>
    <col min="8710" max="8710" width="9.73046875" style="47" customWidth="1"/>
    <col min="8711" max="8711" width="11.265625" style="47" bestFit="1" customWidth="1"/>
    <col min="8712" max="8712" width="8.59765625" style="47" customWidth="1"/>
    <col min="8713" max="8714" width="10.73046875" style="47" customWidth="1"/>
    <col min="8715" max="8715" width="8.59765625" style="47" customWidth="1"/>
    <col min="8716" max="8716" width="9.73046875" style="47" bestFit="1" customWidth="1"/>
    <col min="8717" max="8717" width="8.59765625" style="47" customWidth="1"/>
    <col min="8718" max="8718" width="9.3984375" style="47" bestFit="1" customWidth="1"/>
    <col min="8719" max="8719" width="13.1328125" style="47" customWidth="1"/>
    <col min="8720" max="8960" width="9.1328125" style="47"/>
    <col min="8961" max="8961" width="9" style="47" customWidth="1"/>
    <col min="8962" max="8965" width="8.59765625" style="47" customWidth="1"/>
    <col min="8966" max="8966" width="9.73046875" style="47" customWidth="1"/>
    <col min="8967" max="8967" width="11.265625" style="47" bestFit="1" customWidth="1"/>
    <col min="8968" max="8968" width="8.59765625" style="47" customWidth="1"/>
    <col min="8969" max="8970" width="10.73046875" style="47" customWidth="1"/>
    <col min="8971" max="8971" width="8.59765625" style="47" customWidth="1"/>
    <col min="8972" max="8972" width="9.73046875" style="47" bestFit="1" customWidth="1"/>
    <col min="8973" max="8973" width="8.59765625" style="47" customWidth="1"/>
    <col min="8974" max="8974" width="9.3984375" style="47" bestFit="1" customWidth="1"/>
    <col min="8975" max="8975" width="13.1328125" style="47" customWidth="1"/>
    <col min="8976" max="9216" width="9.1328125" style="47"/>
    <col min="9217" max="9217" width="9" style="47" customWidth="1"/>
    <col min="9218" max="9221" width="8.59765625" style="47" customWidth="1"/>
    <col min="9222" max="9222" width="9.73046875" style="47" customWidth="1"/>
    <col min="9223" max="9223" width="11.265625" style="47" bestFit="1" customWidth="1"/>
    <col min="9224" max="9224" width="8.59765625" style="47" customWidth="1"/>
    <col min="9225" max="9226" width="10.73046875" style="47" customWidth="1"/>
    <col min="9227" max="9227" width="8.59765625" style="47" customWidth="1"/>
    <col min="9228" max="9228" width="9.73046875" style="47" bestFit="1" customWidth="1"/>
    <col min="9229" max="9229" width="8.59765625" style="47" customWidth="1"/>
    <col min="9230" max="9230" width="9.3984375" style="47" bestFit="1" customWidth="1"/>
    <col min="9231" max="9231" width="13.1328125" style="47" customWidth="1"/>
    <col min="9232" max="9472" width="9.1328125" style="47"/>
    <col min="9473" max="9473" width="9" style="47" customWidth="1"/>
    <col min="9474" max="9477" width="8.59765625" style="47" customWidth="1"/>
    <col min="9478" max="9478" width="9.73046875" style="47" customWidth="1"/>
    <col min="9479" max="9479" width="11.265625" style="47" bestFit="1" customWidth="1"/>
    <col min="9480" max="9480" width="8.59765625" style="47" customWidth="1"/>
    <col min="9481" max="9482" width="10.73046875" style="47" customWidth="1"/>
    <col min="9483" max="9483" width="8.59765625" style="47" customWidth="1"/>
    <col min="9484" max="9484" width="9.73046875" style="47" bestFit="1" customWidth="1"/>
    <col min="9485" max="9485" width="8.59765625" style="47" customWidth="1"/>
    <col min="9486" max="9486" width="9.3984375" style="47" bestFit="1" customWidth="1"/>
    <col min="9487" max="9487" width="13.1328125" style="47" customWidth="1"/>
    <col min="9488" max="9728" width="9.1328125" style="47"/>
    <col min="9729" max="9729" width="9" style="47" customWidth="1"/>
    <col min="9730" max="9733" width="8.59765625" style="47" customWidth="1"/>
    <col min="9734" max="9734" width="9.73046875" style="47" customWidth="1"/>
    <col min="9735" max="9735" width="11.265625" style="47" bestFit="1" customWidth="1"/>
    <col min="9736" max="9736" width="8.59765625" style="47" customWidth="1"/>
    <col min="9737" max="9738" width="10.73046875" style="47" customWidth="1"/>
    <col min="9739" max="9739" width="8.59765625" style="47" customWidth="1"/>
    <col min="9740" max="9740" width="9.73046875" style="47" bestFit="1" customWidth="1"/>
    <col min="9741" max="9741" width="8.59765625" style="47" customWidth="1"/>
    <col min="9742" max="9742" width="9.3984375" style="47" bestFit="1" customWidth="1"/>
    <col min="9743" max="9743" width="13.1328125" style="47" customWidth="1"/>
    <col min="9744" max="9984" width="9.1328125" style="47"/>
    <col min="9985" max="9985" width="9" style="47" customWidth="1"/>
    <col min="9986" max="9989" width="8.59765625" style="47" customWidth="1"/>
    <col min="9990" max="9990" width="9.73046875" style="47" customWidth="1"/>
    <col min="9991" max="9991" width="11.265625" style="47" bestFit="1" customWidth="1"/>
    <col min="9992" max="9992" width="8.59765625" style="47" customWidth="1"/>
    <col min="9993" max="9994" width="10.73046875" style="47" customWidth="1"/>
    <col min="9995" max="9995" width="8.59765625" style="47" customWidth="1"/>
    <col min="9996" max="9996" width="9.73046875" style="47" bestFit="1" customWidth="1"/>
    <col min="9997" max="9997" width="8.59765625" style="47" customWidth="1"/>
    <col min="9998" max="9998" width="9.3984375" style="47" bestFit="1" customWidth="1"/>
    <col min="9999" max="9999" width="13.1328125" style="47" customWidth="1"/>
    <col min="10000" max="10240" width="9.1328125" style="47"/>
    <col min="10241" max="10241" width="9" style="47" customWidth="1"/>
    <col min="10242" max="10245" width="8.59765625" style="47" customWidth="1"/>
    <col min="10246" max="10246" width="9.73046875" style="47" customWidth="1"/>
    <col min="10247" max="10247" width="11.265625" style="47" bestFit="1" customWidth="1"/>
    <col min="10248" max="10248" width="8.59765625" style="47" customWidth="1"/>
    <col min="10249" max="10250" width="10.73046875" style="47" customWidth="1"/>
    <col min="10251" max="10251" width="8.59765625" style="47" customWidth="1"/>
    <col min="10252" max="10252" width="9.73046875" style="47" bestFit="1" customWidth="1"/>
    <col min="10253" max="10253" width="8.59765625" style="47" customWidth="1"/>
    <col min="10254" max="10254" width="9.3984375" style="47" bestFit="1" customWidth="1"/>
    <col min="10255" max="10255" width="13.1328125" style="47" customWidth="1"/>
    <col min="10256" max="10496" width="9.1328125" style="47"/>
    <col min="10497" max="10497" width="9" style="47" customWidth="1"/>
    <col min="10498" max="10501" width="8.59765625" style="47" customWidth="1"/>
    <col min="10502" max="10502" width="9.73046875" style="47" customWidth="1"/>
    <col min="10503" max="10503" width="11.265625" style="47" bestFit="1" customWidth="1"/>
    <col min="10504" max="10504" width="8.59765625" style="47" customWidth="1"/>
    <col min="10505" max="10506" width="10.73046875" style="47" customWidth="1"/>
    <col min="10507" max="10507" width="8.59765625" style="47" customWidth="1"/>
    <col min="10508" max="10508" width="9.73046875" style="47" bestFit="1" customWidth="1"/>
    <col min="10509" max="10509" width="8.59765625" style="47" customWidth="1"/>
    <col min="10510" max="10510" width="9.3984375" style="47" bestFit="1" customWidth="1"/>
    <col min="10511" max="10511" width="13.1328125" style="47" customWidth="1"/>
    <col min="10512" max="10752" width="9.1328125" style="47"/>
    <col min="10753" max="10753" width="9" style="47" customWidth="1"/>
    <col min="10754" max="10757" width="8.59765625" style="47" customWidth="1"/>
    <col min="10758" max="10758" width="9.73046875" style="47" customWidth="1"/>
    <col min="10759" max="10759" width="11.265625" style="47" bestFit="1" customWidth="1"/>
    <col min="10760" max="10760" width="8.59765625" style="47" customWidth="1"/>
    <col min="10761" max="10762" width="10.73046875" style="47" customWidth="1"/>
    <col min="10763" max="10763" width="8.59765625" style="47" customWidth="1"/>
    <col min="10764" max="10764" width="9.73046875" style="47" bestFit="1" customWidth="1"/>
    <col min="10765" max="10765" width="8.59765625" style="47" customWidth="1"/>
    <col min="10766" max="10766" width="9.3984375" style="47" bestFit="1" customWidth="1"/>
    <col min="10767" max="10767" width="13.1328125" style="47" customWidth="1"/>
    <col min="10768" max="11008" width="9.1328125" style="47"/>
    <col min="11009" max="11009" width="9" style="47" customWidth="1"/>
    <col min="11010" max="11013" width="8.59765625" style="47" customWidth="1"/>
    <col min="11014" max="11014" width="9.73046875" style="47" customWidth="1"/>
    <col min="11015" max="11015" width="11.265625" style="47" bestFit="1" customWidth="1"/>
    <col min="11016" max="11016" width="8.59765625" style="47" customWidth="1"/>
    <col min="11017" max="11018" width="10.73046875" style="47" customWidth="1"/>
    <col min="11019" max="11019" width="8.59765625" style="47" customWidth="1"/>
    <col min="11020" max="11020" width="9.73046875" style="47" bestFit="1" customWidth="1"/>
    <col min="11021" max="11021" width="8.59765625" style="47" customWidth="1"/>
    <col min="11022" max="11022" width="9.3984375" style="47" bestFit="1" customWidth="1"/>
    <col min="11023" max="11023" width="13.1328125" style="47" customWidth="1"/>
    <col min="11024" max="11264" width="9.1328125" style="47"/>
    <col min="11265" max="11265" width="9" style="47" customWidth="1"/>
    <col min="11266" max="11269" width="8.59765625" style="47" customWidth="1"/>
    <col min="11270" max="11270" width="9.73046875" style="47" customWidth="1"/>
    <col min="11271" max="11271" width="11.265625" style="47" bestFit="1" customWidth="1"/>
    <col min="11272" max="11272" width="8.59765625" style="47" customWidth="1"/>
    <col min="11273" max="11274" width="10.73046875" style="47" customWidth="1"/>
    <col min="11275" max="11275" width="8.59765625" style="47" customWidth="1"/>
    <col min="11276" max="11276" width="9.73046875" style="47" bestFit="1" customWidth="1"/>
    <col min="11277" max="11277" width="8.59765625" style="47" customWidth="1"/>
    <col min="11278" max="11278" width="9.3984375" style="47" bestFit="1" customWidth="1"/>
    <col min="11279" max="11279" width="13.1328125" style="47" customWidth="1"/>
    <col min="11280" max="11520" width="9.1328125" style="47"/>
    <col min="11521" max="11521" width="9" style="47" customWidth="1"/>
    <col min="11522" max="11525" width="8.59765625" style="47" customWidth="1"/>
    <col min="11526" max="11526" width="9.73046875" style="47" customWidth="1"/>
    <col min="11527" max="11527" width="11.265625" style="47" bestFit="1" customWidth="1"/>
    <col min="11528" max="11528" width="8.59765625" style="47" customWidth="1"/>
    <col min="11529" max="11530" width="10.73046875" style="47" customWidth="1"/>
    <col min="11531" max="11531" width="8.59765625" style="47" customWidth="1"/>
    <col min="11532" max="11532" width="9.73046875" style="47" bestFit="1" customWidth="1"/>
    <col min="11533" max="11533" width="8.59765625" style="47" customWidth="1"/>
    <col min="11534" max="11534" width="9.3984375" style="47" bestFit="1" customWidth="1"/>
    <col min="11535" max="11535" width="13.1328125" style="47" customWidth="1"/>
    <col min="11536" max="11776" width="9.1328125" style="47"/>
    <col min="11777" max="11777" width="9" style="47" customWidth="1"/>
    <col min="11778" max="11781" width="8.59765625" style="47" customWidth="1"/>
    <col min="11782" max="11782" width="9.73046875" style="47" customWidth="1"/>
    <col min="11783" max="11783" width="11.265625" style="47" bestFit="1" customWidth="1"/>
    <col min="11784" max="11784" width="8.59765625" style="47" customWidth="1"/>
    <col min="11785" max="11786" width="10.73046875" style="47" customWidth="1"/>
    <col min="11787" max="11787" width="8.59765625" style="47" customWidth="1"/>
    <col min="11788" max="11788" width="9.73046875" style="47" bestFit="1" customWidth="1"/>
    <col min="11789" max="11789" width="8.59765625" style="47" customWidth="1"/>
    <col min="11790" max="11790" width="9.3984375" style="47" bestFit="1" customWidth="1"/>
    <col min="11791" max="11791" width="13.1328125" style="47" customWidth="1"/>
    <col min="11792" max="12032" width="9.1328125" style="47"/>
    <col min="12033" max="12033" width="9" style="47" customWidth="1"/>
    <col min="12034" max="12037" width="8.59765625" style="47" customWidth="1"/>
    <col min="12038" max="12038" width="9.73046875" style="47" customWidth="1"/>
    <col min="12039" max="12039" width="11.265625" style="47" bestFit="1" customWidth="1"/>
    <col min="12040" max="12040" width="8.59765625" style="47" customWidth="1"/>
    <col min="12041" max="12042" width="10.73046875" style="47" customWidth="1"/>
    <col min="12043" max="12043" width="8.59765625" style="47" customWidth="1"/>
    <col min="12044" max="12044" width="9.73046875" style="47" bestFit="1" customWidth="1"/>
    <col min="12045" max="12045" width="8.59765625" style="47" customWidth="1"/>
    <col min="12046" max="12046" width="9.3984375" style="47" bestFit="1" customWidth="1"/>
    <col min="12047" max="12047" width="13.1328125" style="47" customWidth="1"/>
    <col min="12048" max="12288" width="9.1328125" style="47"/>
    <col min="12289" max="12289" width="9" style="47" customWidth="1"/>
    <col min="12290" max="12293" width="8.59765625" style="47" customWidth="1"/>
    <col min="12294" max="12294" width="9.73046875" style="47" customWidth="1"/>
    <col min="12295" max="12295" width="11.265625" style="47" bestFit="1" customWidth="1"/>
    <col min="12296" max="12296" width="8.59765625" style="47" customWidth="1"/>
    <col min="12297" max="12298" width="10.73046875" style="47" customWidth="1"/>
    <col min="12299" max="12299" width="8.59765625" style="47" customWidth="1"/>
    <col min="12300" max="12300" width="9.73046875" style="47" bestFit="1" customWidth="1"/>
    <col min="12301" max="12301" width="8.59765625" style="47" customWidth="1"/>
    <col min="12302" max="12302" width="9.3984375" style="47" bestFit="1" customWidth="1"/>
    <col min="12303" max="12303" width="13.1328125" style="47" customWidth="1"/>
    <col min="12304" max="12544" width="9.1328125" style="47"/>
    <col min="12545" max="12545" width="9" style="47" customWidth="1"/>
    <col min="12546" max="12549" width="8.59765625" style="47" customWidth="1"/>
    <col min="12550" max="12550" width="9.73046875" style="47" customWidth="1"/>
    <col min="12551" max="12551" width="11.265625" style="47" bestFit="1" customWidth="1"/>
    <col min="12552" max="12552" width="8.59765625" style="47" customWidth="1"/>
    <col min="12553" max="12554" width="10.73046875" style="47" customWidth="1"/>
    <col min="12555" max="12555" width="8.59765625" style="47" customWidth="1"/>
    <col min="12556" max="12556" width="9.73046875" style="47" bestFit="1" customWidth="1"/>
    <col min="12557" max="12557" width="8.59765625" style="47" customWidth="1"/>
    <col min="12558" max="12558" width="9.3984375" style="47" bestFit="1" customWidth="1"/>
    <col min="12559" max="12559" width="13.1328125" style="47" customWidth="1"/>
    <col min="12560" max="12800" width="9.1328125" style="47"/>
    <col min="12801" max="12801" width="9" style="47" customWidth="1"/>
    <col min="12802" max="12805" width="8.59765625" style="47" customWidth="1"/>
    <col min="12806" max="12806" width="9.73046875" style="47" customWidth="1"/>
    <col min="12807" max="12807" width="11.265625" style="47" bestFit="1" customWidth="1"/>
    <col min="12808" max="12808" width="8.59765625" style="47" customWidth="1"/>
    <col min="12809" max="12810" width="10.73046875" style="47" customWidth="1"/>
    <col min="12811" max="12811" width="8.59765625" style="47" customWidth="1"/>
    <col min="12812" max="12812" width="9.73046875" style="47" bestFit="1" customWidth="1"/>
    <col min="12813" max="12813" width="8.59765625" style="47" customWidth="1"/>
    <col min="12814" max="12814" width="9.3984375" style="47" bestFit="1" customWidth="1"/>
    <col min="12815" max="12815" width="13.1328125" style="47" customWidth="1"/>
    <col min="12816" max="13056" width="9.1328125" style="47"/>
    <col min="13057" max="13057" width="9" style="47" customWidth="1"/>
    <col min="13058" max="13061" width="8.59765625" style="47" customWidth="1"/>
    <col min="13062" max="13062" width="9.73046875" style="47" customWidth="1"/>
    <col min="13063" max="13063" width="11.265625" style="47" bestFit="1" customWidth="1"/>
    <col min="13064" max="13064" width="8.59765625" style="47" customWidth="1"/>
    <col min="13065" max="13066" width="10.73046875" style="47" customWidth="1"/>
    <col min="13067" max="13067" width="8.59765625" style="47" customWidth="1"/>
    <col min="13068" max="13068" width="9.73046875" style="47" bestFit="1" customWidth="1"/>
    <col min="13069" max="13069" width="8.59765625" style="47" customWidth="1"/>
    <col min="13070" max="13070" width="9.3984375" style="47" bestFit="1" customWidth="1"/>
    <col min="13071" max="13071" width="13.1328125" style="47" customWidth="1"/>
    <col min="13072" max="13312" width="9.1328125" style="47"/>
    <col min="13313" max="13313" width="9" style="47" customWidth="1"/>
    <col min="13314" max="13317" width="8.59765625" style="47" customWidth="1"/>
    <col min="13318" max="13318" width="9.73046875" style="47" customWidth="1"/>
    <col min="13319" max="13319" width="11.265625" style="47" bestFit="1" customWidth="1"/>
    <col min="13320" max="13320" width="8.59765625" style="47" customWidth="1"/>
    <col min="13321" max="13322" width="10.73046875" style="47" customWidth="1"/>
    <col min="13323" max="13323" width="8.59765625" style="47" customWidth="1"/>
    <col min="13324" max="13324" width="9.73046875" style="47" bestFit="1" customWidth="1"/>
    <col min="13325" max="13325" width="8.59765625" style="47" customWidth="1"/>
    <col min="13326" max="13326" width="9.3984375" style="47" bestFit="1" customWidth="1"/>
    <col min="13327" max="13327" width="13.1328125" style="47" customWidth="1"/>
    <col min="13328" max="13568" width="9.1328125" style="47"/>
    <col min="13569" max="13569" width="9" style="47" customWidth="1"/>
    <col min="13570" max="13573" width="8.59765625" style="47" customWidth="1"/>
    <col min="13574" max="13574" width="9.73046875" style="47" customWidth="1"/>
    <col min="13575" max="13575" width="11.265625" style="47" bestFit="1" customWidth="1"/>
    <col min="13576" max="13576" width="8.59765625" style="47" customWidth="1"/>
    <col min="13577" max="13578" width="10.73046875" style="47" customWidth="1"/>
    <col min="13579" max="13579" width="8.59765625" style="47" customWidth="1"/>
    <col min="13580" max="13580" width="9.73046875" style="47" bestFit="1" customWidth="1"/>
    <col min="13581" max="13581" width="8.59765625" style="47" customWidth="1"/>
    <col min="13582" max="13582" width="9.3984375" style="47" bestFit="1" customWidth="1"/>
    <col min="13583" max="13583" width="13.1328125" style="47" customWidth="1"/>
    <col min="13584" max="13824" width="9.1328125" style="47"/>
    <col min="13825" max="13825" width="9" style="47" customWidth="1"/>
    <col min="13826" max="13829" width="8.59765625" style="47" customWidth="1"/>
    <col min="13830" max="13830" width="9.73046875" style="47" customWidth="1"/>
    <col min="13831" max="13831" width="11.265625" style="47" bestFit="1" customWidth="1"/>
    <col min="13832" max="13832" width="8.59765625" style="47" customWidth="1"/>
    <col min="13833" max="13834" width="10.73046875" style="47" customWidth="1"/>
    <col min="13835" max="13835" width="8.59765625" style="47" customWidth="1"/>
    <col min="13836" max="13836" width="9.73046875" style="47" bestFit="1" customWidth="1"/>
    <col min="13837" max="13837" width="8.59765625" style="47" customWidth="1"/>
    <col min="13838" max="13838" width="9.3984375" style="47" bestFit="1" customWidth="1"/>
    <col min="13839" max="13839" width="13.1328125" style="47" customWidth="1"/>
    <col min="13840" max="14080" width="9.1328125" style="47"/>
    <col min="14081" max="14081" width="9" style="47" customWidth="1"/>
    <col min="14082" max="14085" width="8.59765625" style="47" customWidth="1"/>
    <col min="14086" max="14086" width="9.73046875" style="47" customWidth="1"/>
    <col min="14087" max="14087" width="11.265625" style="47" bestFit="1" customWidth="1"/>
    <col min="14088" max="14088" width="8.59765625" style="47" customWidth="1"/>
    <col min="14089" max="14090" width="10.73046875" style="47" customWidth="1"/>
    <col min="14091" max="14091" width="8.59765625" style="47" customWidth="1"/>
    <col min="14092" max="14092" width="9.73046875" style="47" bestFit="1" customWidth="1"/>
    <col min="14093" max="14093" width="8.59765625" style="47" customWidth="1"/>
    <col min="14094" max="14094" width="9.3984375" style="47" bestFit="1" customWidth="1"/>
    <col min="14095" max="14095" width="13.1328125" style="47" customWidth="1"/>
    <col min="14096" max="14336" width="9.1328125" style="47"/>
    <col min="14337" max="14337" width="9" style="47" customWidth="1"/>
    <col min="14338" max="14341" width="8.59765625" style="47" customWidth="1"/>
    <col min="14342" max="14342" width="9.73046875" style="47" customWidth="1"/>
    <col min="14343" max="14343" width="11.265625" style="47" bestFit="1" customWidth="1"/>
    <col min="14344" max="14344" width="8.59765625" style="47" customWidth="1"/>
    <col min="14345" max="14346" width="10.73046875" style="47" customWidth="1"/>
    <col min="14347" max="14347" width="8.59765625" style="47" customWidth="1"/>
    <col min="14348" max="14348" width="9.73046875" style="47" bestFit="1" customWidth="1"/>
    <col min="14349" max="14349" width="8.59765625" style="47" customWidth="1"/>
    <col min="14350" max="14350" width="9.3984375" style="47" bestFit="1" customWidth="1"/>
    <col min="14351" max="14351" width="13.1328125" style="47" customWidth="1"/>
    <col min="14352" max="14592" width="9.1328125" style="47"/>
    <col min="14593" max="14593" width="9" style="47" customWidth="1"/>
    <col min="14594" max="14597" width="8.59765625" style="47" customWidth="1"/>
    <col min="14598" max="14598" width="9.73046875" style="47" customWidth="1"/>
    <col min="14599" max="14599" width="11.265625" style="47" bestFit="1" customWidth="1"/>
    <col min="14600" max="14600" width="8.59765625" style="47" customWidth="1"/>
    <col min="14601" max="14602" width="10.73046875" style="47" customWidth="1"/>
    <col min="14603" max="14603" width="8.59765625" style="47" customWidth="1"/>
    <col min="14604" max="14604" width="9.73046875" style="47" bestFit="1" customWidth="1"/>
    <col min="14605" max="14605" width="8.59765625" style="47" customWidth="1"/>
    <col min="14606" max="14606" width="9.3984375" style="47" bestFit="1" customWidth="1"/>
    <col min="14607" max="14607" width="13.1328125" style="47" customWidth="1"/>
    <col min="14608" max="14848" width="9.1328125" style="47"/>
    <col min="14849" max="14849" width="9" style="47" customWidth="1"/>
    <col min="14850" max="14853" width="8.59765625" style="47" customWidth="1"/>
    <col min="14854" max="14854" width="9.73046875" style="47" customWidth="1"/>
    <col min="14855" max="14855" width="11.265625" style="47" bestFit="1" customWidth="1"/>
    <col min="14856" max="14856" width="8.59765625" style="47" customWidth="1"/>
    <col min="14857" max="14858" width="10.73046875" style="47" customWidth="1"/>
    <col min="14859" max="14859" width="8.59765625" style="47" customWidth="1"/>
    <col min="14860" max="14860" width="9.73046875" style="47" bestFit="1" customWidth="1"/>
    <col min="14861" max="14861" width="8.59765625" style="47" customWidth="1"/>
    <col min="14862" max="14862" width="9.3984375" style="47" bestFit="1" customWidth="1"/>
    <col min="14863" max="14863" width="13.1328125" style="47" customWidth="1"/>
    <col min="14864" max="15104" width="9.1328125" style="47"/>
    <col min="15105" max="15105" width="9" style="47" customWidth="1"/>
    <col min="15106" max="15109" width="8.59765625" style="47" customWidth="1"/>
    <col min="15110" max="15110" width="9.73046875" style="47" customWidth="1"/>
    <col min="15111" max="15111" width="11.265625" style="47" bestFit="1" customWidth="1"/>
    <col min="15112" max="15112" width="8.59765625" style="47" customWidth="1"/>
    <col min="15113" max="15114" width="10.73046875" style="47" customWidth="1"/>
    <col min="15115" max="15115" width="8.59765625" style="47" customWidth="1"/>
    <col min="15116" max="15116" width="9.73046875" style="47" bestFit="1" customWidth="1"/>
    <col min="15117" max="15117" width="8.59765625" style="47" customWidth="1"/>
    <col min="15118" max="15118" width="9.3984375" style="47" bestFit="1" customWidth="1"/>
    <col min="15119" max="15119" width="13.1328125" style="47" customWidth="1"/>
    <col min="15120" max="15360" width="9.1328125" style="47"/>
    <col min="15361" max="15361" width="9" style="47" customWidth="1"/>
    <col min="15362" max="15365" width="8.59765625" style="47" customWidth="1"/>
    <col min="15366" max="15366" width="9.73046875" style="47" customWidth="1"/>
    <col min="15367" max="15367" width="11.265625" style="47" bestFit="1" customWidth="1"/>
    <col min="15368" max="15368" width="8.59765625" style="47" customWidth="1"/>
    <col min="15369" max="15370" width="10.73046875" style="47" customWidth="1"/>
    <col min="15371" max="15371" width="8.59765625" style="47" customWidth="1"/>
    <col min="15372" max="15372" width="9.73046875" style="47" bestFit="1" customWidth="1"/>
    <col min="15373" max="15373" width="8.59765625" style="47" customWidth="1"/>
    <col min="15374" max="15374" width="9.3984375" style="47" bestFit="1" customWidth="1"/>
    <col min="15375" max="15375" width="13.1328125" style="47" customWidth="1"/>
    <col min="15376" max="15616" width="9.1328125" style="47"/>
    <col min="15617" max="15617" width="9" style="47" customWidth="1"/>
    <col min="15618" max="15621" width="8.59765625" style="47" customWidth="1"/>
    <col min="15622" max="15622" width="9.73046875" style="47" customWidth="1"/>
    <col min="15623" max="15623" width="11.265625" style="47" bestFit="1" customWidth="1"/>
    <col min="15624" max="15624" width="8.59765625" style="47" customWidth="1"/>
    <col min="15625" max="15626" width="10.73046875" style="47" customWidth="1"/>
    <col min="15627" max="15627" width="8.59765625" style="47" customWidth="1"/>
    <col min="15628" max="15628" width="9.73046875" style="47" bestFit="1" customWidth="1"/>
    <col min="15629" max="15629" width="8.59765625" style="47" customWidth="1"/>
    <col min="15630" max="15630" width="9.3984375" style="47" bestFit="1" customWidth="1"/>
    <col min="15631" max="15631" width="13.1328125" style="47" customWidth="1"/>
    <col min="15632" max="15872" width="9.1328125" style="47"/>
    <col min="15873" max="15873" width="9" style="47" customWidth="1"/>
    <col min="15874" max="15877" width="8.59765625" style="47" customWidth="1"/>
    <col min="15878" max="15878" width="9.73046875" style="47" customWidth="1"/>
    <col min="15879" max="15879" width="11.265625" style="47" bestFit="1" customWidth="1"/>
    <col min="15880" max="15880" width="8.59765625" style="47" customWidth="1"/>
    <col min="15881" max="15882" width="10.73046875" style="47" customWidth="1"/>
    <col min="15883" max="15883" width="8.59765625" style="47" customWidth="1"/>
    <col min="15884" max="15884" width="9.73046875" style="47" bestFit="1" customWidth="1"/>
    <col min="15885" max="15885" width="8.59765625" style="47" customWidth="1"/>
    <col min="15886" max="15886" width="9.3984375" style="47" bestFit="1" customWidth="1"/>
    <col min="15887" max="15887" width="13.1328125" style="47" customWidth="1"/>
    <col min="15888" max="16128" width="9.1328125" style="47"/>
    <col min="16129" max="16129" width="9" style="47" customWidth="1"/>
    <col min="16130" max="16133" width="8.59765625" style="47" customWidth="1"/>
    <col min="16134" max="16134" width="9.73046875" style="47" customWidth="1"/>
    <col min="16135" max="16135" width="11.265625" style="47" bestFit="1" customWidth="1"/>
    <col min="16136" max="16136" width="8.59765625" style="47" customWidth="1"/>
    <col min="16137" max="16138" width="10.73046875" style="47" customWidth="1"/>
    <col min="16139" max="16139" width="8.59765625" style="47" customWidth="1"/>
    <col min="16140" max="16140" width="9.73046875" style="47" bestFit="1" customWidth="1"/>
    <col min="16141" max="16141" width="8.59765625" style="47" customWidth="1"/>
    <col min="16142" max="16142" width="9.3984375" style="47" bestFit="1" customWidth="1"/>
    <col min="16143" max="16143" width="13.1328125" style="47" customWidth="1"/>
    <col min="16144" max="16384" width="9.1328125" style="47"/>
  </cols>
  <sheetData>
    <row r="1" spans="1:16" x14ac:dyDescent="0.45">
      <c r="A1" s="46"/>
    </row>
    <row r="2" spans="1:16" ht="19.899999999999999" x14ac:dyDescent="0.45">
      <c r="A2" s="92" t="s">
        <v>137</v>
      </c>
      <c r="B2" s="92"/>
      <c r="C2" s="92"/>
      <c r="D2" s="92"/>
      <c r="E2" s="92"/>
      <c r="F2" s="92"/>
      <c r="G2" s="92"/>
      <c r="H2" s="92"/>
      <c r="I2" s="92"/>
      <c r="J2" s="92"/>
      <c r="K2" s="92"/>
      <c r="L2" s="92"/>
      <c r="M2" s="92"/>
      <c r="N2" s="92"/>
      <c r="O2" s="92"/>
    </row>
    <row r="3" spans="1:16" x14ac:dyDescent="0.45">
      <c r="A3" s="46"/>
      <c r="I3" s="95" t="s">
        <v>197</v>
      </c>
      <c r="J3" s="95"/>
      <c r="K3" s="95"/>
      <c r="L3" s="95"/>
      <c r="M3" s="95"/>
    </row>
    <row r="4" spans="1:16" x14ac:dyDescent="0.45">
      <c r="A4" s="46"/>
    </row>
    <row r="5" spans="1:16" x14ac:dyDescent="0.45">
      <c r="A5" s="46"/>
    </row>
    <row r="6" spans="1:16" x14ac:dyDescent="0.45">
      <c r="A6" s="46"/>
    </row>
    <row r="7" spans="1:16" x14ac:dyDescent="0.45">
      <c r="A7" s="46"/>
    </row>
    <row r="8" spans="1:16" ht="17.25" x14ac:dyDescent="0.45">
      <c r="A8" s="93" t="s">
        <v>138</v>
      </c>
      <c r="B8" s="93"/>
      <c r="C8" s="93"/>
      <c r="D8" s="93"/>
      <c r="E8" s="93"/>
      <c r="F8" s="93"/>
      <c r="G8" s="93"/>
      <c r="H8" s="93"/>
      <c r="I8" s="93"/>
      <c r="J8" s="93"/>
      <c r="K8" s="93"/>
      <c r="L8" s="93"/>
      <c r="M8" s="93"/>
      <c r="N8" s="93"/>
      <c r="O8" s="93"/>
    </row>
    <row r="9" spans="1:16" x14ac:dyDescent="0.45">
      <c r="A9" s="46"/>
    </row>
    <row r="10" spans="1:16" x14ac:dyDescent="0.45">
      <c r="A10" s="46" t="s">
        <v>139</v>
      </c>
    </row>
    <row r="11" spans="1:16" x14ac:dyDescent="0.45">
      <c r="A11" s="46" t="s">
        <v>140</v>
      </c>
    </row>
    <row r="12" spans="1:16" x14ac:dyDescent="0.45">
      <c r="A12" s="47"/>
      <c r="B12" s="48"/>
      <c r="C12" s="48"/>
      <c r="D12" s="48"/>
      <c r="E12" s="48"/>
      <c r="F12" s="48"/>
      <c r="G12" s="48"/>
      <c r="H12" s="48"/>
      <c r="I12" s="48"/>
      <c r="J12" s="48"/>
      <c r="K12" s="48"/>
      <c r="L12" s="49"/>
      <c r="M12" s="49"/>
      <c r="N12" s="46"/>
      <c r="O12" s="50" t="s">
        <v>141</v>
      </c>
    </row>
    <row r="13" spans="1:16" x14ac:dyDescent="0.45">
      <c r="A13" s="51" t="s">
        <v>1</v>
      </c>
      <c r="B13" s="52">
        <v>33329</v>
      </c>
      <c r="C13" s="52">
        <v>33359</v>
      </c>
      <c r="D13" s="52">
        <v>33390</v>
      </c>
      <c r="E13" s="52">
        <v>33420</v>
      </c>
      <c r="F13" s="52">
        <v>33451</v>
      </c>
      <c r="G13" s="52">
        <v>33482</v>
      </c>
      <c r="H13" s="52">
        <v>33512</v>
      </c>
      <c r="I13" s="52">
        <v>33543</v>
      </c>
      <c r="J13" s="52">
        <v>33573</v>
      </c>
      <c r="K13" s="52">
        <v>33604</v>
      </c>
      <c r="L13" s="52">
        <v>33635</v>
      </c>
      <c r="M13" s="52">
        <v>33664</v>
      </c>
      <c r="N13" s="52" t="s">
        <v>142</v>
      </c>
      <c r="O13" s="52" t="s">
        <v>143</v>
      </c>
    </row>
    <row r="14" spans="1:16" s="57" customFormat="1" x14ac:dyDescent="0.45">
      <c r="A14" s="53" t="s">
        <v>144</v>
      </c>
      <c r="B14" s="54">
        <v>22.51</v>
      </c>
      <c r="C14" s="54">
        <v>26.6</v>
      </c>
      <c r="D14" s="54">
        <v>28.49</v>
      </c>
      <c r="E14" s="54">
        <v>27.26</v>
      </c>
      <c r="F14" s="54">
        <v>28.328848863636367</v>
      </c>
      <c r="G14" s="54">
        <v>31.34</v>
      </c>
      <c r="H14" s="54">
        <v>30.5</v>
      </c>
      <c r="I14" s="54">
        <v>30.926621590909097</v>
      </c>
      <c r="J14" s="54">
        <v>23.25</v>
      </c>
      <c r="K14" s="54">
        <v>24.02</v>
      </c>
      <c r="L14" s="54">
        <v>25.92</v>
      </c>
      <c r="M14" s="54">
        <v>23.82</v>
      </c>
      <c r="N14" s="55">
        <v>26.924166666666665</v>
      </c>
      <c r="O14" s="56" t="s">
        <v>145</v>
      </c>
    </row>
    <row r="15" spans="1:16" s="57" customFormat="1" x14ac:dyDescent="0.45">
      <c r="A15" s="58" t="s">
        <v>146</v>
      </c>
      <c r="B15" s="54">
        <v>24.82</v>
      </c>
      <c r="C15" s="54">
        <v>26.95</v>
      </c>
      <c r="D15" s="54">
        <v>26.63</v>
      </c>
      <c r="E15" s="54">
        <v>23.99</v>
      </c>
      <c r="F15" s="54">
        <v>25.01</v>
      </c>
      <c r="G15" s="54">
        <v>24.79</v>
      </c>
      <c r="H15" s="54">
        <v>20.05</v>
      </c>
      <c r="I15" s="54">
        <v>18.239999999999998</v>
      </c>
      <c r="J15" s="54">
        <v>18.239999999999998</v>
      </c>
      <c r="K15" s="54">
        <v>18.920000000000002</v>
      </c>
      <c r="L15" s="54">
        <v>19.529986842105259</v>
      </c>
      <c r="M15" s="54">
        <v>23.31</v>
      </c>
      <c r="N15" s="55">
        <v>22.551701476377943</v>
      </c>
      <c r="O15" s="56" t="s">
        <v>145</v>
      </c>
      <c r="P15" s="59"/>
    </row>
    <row r="16" spans="1:16" s="57" customFormat="1" x14ac:dyDescent="0.45">
      <c r="A16" s="53" t="s">
        <v>147</v>
      </c>
      <c r="B16" s="54">
        <v>25.029405681818183</v>
      </c>
      <c r="C16" s="54">
        <v>24.994865217391304</v>
      </c>
      <c r="D16" s="54">
        <v>24.051813749999997</v>
      </c>
      <c r="E16" s="54">
        <v>25.183221739130431</v>
      </c>
      <c r="F16" s="54">
        <v>25.855818181818179</v>
      </c>
      <c r="G16" s="54">
        <v>27.495242857142859</v>
      </c>
      <c r="H16" s="54">
        <v>26.902101086956524</v>
      </c>
      <c r="I16" s="54">
        <v>23.682511904761906</v>
      </c>
      <c r="J16" s="54">
        <v>27.110101190476186</v>
      </c>
      <c r="K16" s="54">
        <v>29.592549999999996</v>
      </c>
      <c r="L16" s="54">
        <v>31.308380555555548</v>
      </c>
      <c r="M16" s="54">
        <v>28.825039285714286</v>
      </c>
      <c r="N16" s="55">
        <v>26.6</v>
      </c>
      <c r="O16" s="56" t="s">
        <v>145</v>
      </c>
      <c r="P16" s="59"/>
    </row>
    <row r="17" spans="1:16" s="57" customFormat="1" x14ac:dyDescent="0.45">
      <c r="A17" s="58" t="s">
        <v>148</v>
      </c>
      <c r="B17" s="54">
        <v>24.214591666666667</v>
      </c>
      <c r="C17" s="54">
        <v>24.98887894736842</v>
      </c>
      <c r="D17" s="54">
        <v>26.425924999999999</v>
      </c>
      <c r="E17" s="54">
        <v>27.458449999999999</v>
      </c>
      <c r="F17" s="54">
        <v>28.663598809523808</v>
      </c>
      <c r="G17" s="54">
        <v>26.265218181818184</v>
      </c>
      <c r="H17" s="54">
        <v>28.449944318181817</v>
      </c>
      <c r="I17" s="54">
        <v>28.226284210526316</v>
      </c>
      <c r="J17" s="54">
        <v>28.966610714285707</v>
      </c>
      <c r="K17" s="54">
        <v>29.999534210526313</v>
      </c>
      <c r="L17" s="54">
        <v>29.647267105263154</v>
      </c>
      <c r="M17" s="54">
        <v>32.210322826086951</v>
      </c>
      <c r="N17" s="55">
        <v>27.98</v>
      </c>
      <c r="O17" s="56" t="s">
        <v>145</v>
      </c>
      <c r="P17" s="59"/>
    </row>
    <row r="18" spans="1:16" s="57" customFormat="1" x14ac:dyDescent="0.45">
      <c r="A18" s="53" t="s">
        <v>149</v>
      </c>
      <c r="B18" s="54">
        <v>32.365204761904764</v>
      </c>
      <c r="C18" s="54">
        <v>36.078851249999992</v>
      </c>
      <c r="D18" s="54">
        <v>34.159547619047622</v>
      </c>
      <c r="E18" s="54">
        <v>36.353381818181809</v>
      </c>
      <c r="F18" s="54">
        <v>40.517199999999995</v>
      </c>
      <c r="G18" s="54">
        <v>39.149477272727275</v>
      </c>
      <c r="H18" s="54">
        <v>43.375466666666675</v>
      </c>
      <c r="I18" s="54">
        <v>38.898870000000002</v>
      </c>
      <c r="J18" s="54">
        <v>36.816215476190465</v>
      </c>
      <c r="K18" s="54">
        <v>40.96200249999999</v>
      </c>
      <c r="L18" s="54">
        <v>42.670598611111117</v>
      </c>
      <c r="M18" s="54">
        <v>49.27002045454546</v>
      </c>
      <c r="N18" s="55">
        <v>39.205833333333331</v>
      </c>
      <c r="O18" s="56" t="s">
        <v>145</v>
      </c>
      <c r="P18" s="59"/>
    </row>
    <row r="19" spans="1:16" s="57" customFormat="1" x14ac:dyDescent="0.45">
      <c r="A19" s="58" t="s">
        <v>150</v>
      </c>
      <c r="B19" s="54">
        <v>49.427602380952379</v>
      </c>
      <c r="C19" s="54">
        <v>46.995223684210522</v>
      </c>
      <c r="D19" s="54">
        <v>52.720745454545458</v>
      </c>
      <c r="E19" s="54">
        <v>55.008083333333325</v>
      </c>
      <c r="F19" s="54">
        <v>60.048336363636373</v>
      </c>
      <c r="G19" s="54">
        <v>59.739213636363637</v>
      </c>
      <c r="H19" s="54">
        <v>56.279061904761896</v>
      </c>
      <c r="I19" s="54">
        <v>53.143807500000001</v>
      </c>
      <c r="J19" s="54">
        <v>55.045628571428587</v>
      </c>
      <c r="K19" s="54">
        <v>60.54291666666667</v>
      </c>
      <c r="L19" s="54">
        <v>58.953329999999994</v>
      </c>
      <c r="M19" s="54">
        <v>60.011573913043478</v>
      </c>
      <c r="N19" s="55">
        <v>55.720000000000006</v>
      </c>
      <c r="O19" s="56" t="s">
        <v>151</v>
      </c>
      <c r="P19" s="59"/>
    </row>
    <row r="20" spans="1:16" s="57" customFormat="1" x14ac:dyDescent="0.45">
      <c r="A20" s="53" t="s">
        <v>152</v>
      </c>
      <c r="B20" s="54">
        <v>67.055031315789464</v>
      </c>
      <c r="C20" s="54">
        <v>67.22359075</v>
      </c>
      <c r="D20" s="54">
        <v>66.897534999999976</v>
      </c>
      <c r="E20" s="54">
        <v>71.285795238095261</v>
      </c>
      <c r="F20" s="54">
        <v>70.775921818181828</v>
      </c>
      <c r="G20" s="54">
        <v>60.933454285714276</v>
      </c>
      <c r="H20" s="54">
        <v>57.270684761904761</v>
      </c>
      <c r="I20" s="54">
        <v>57.793637500000003</v>
      </c>
      <c r="J20" s="54">
        <v>60.34467149999999</v>
      </c>
      <c r="K20" s="54">
        <v>52.529441428571438</v>
      </c>
      <c r="L20" s="54">
        <v>56.531044722222227</v>
      </c>
      <c r="M20" s="54">
        <v>60.262107954545442</v>
      </c>
      <c r="N20" s="55">
        <v>62.46</v>
      </c>
      <c r="O20" s="56" t="s">
        <v>153</v>
      </c>
      <c r="P20" s="59"/>
    </row>
    <row r="21" spans="1:16" s="57" customFormat="1" x14ac:dyDescent="0.45">
      <c r="A21" s="58" t="s">
        <v>154</v>
      </c>
      <c r="B21" s="54">
        <v>65.481951250000009</v>
      </c>
      <c r="C21" s="54">
        <v>65.695437249999983</v>
      </c>
      <c r="D21" s="54">
        <v>68.099250714285716</v>
      </c>
      <c r="E21" s="54">
        <v>72.575061818181794</v>
      </c>
      <c r="F21" s="54">
        <v>68.982336590909085</v>
      </c>
      <c r="G21" s="54">
        <v>74.776604250000005</v>
      </c>
      <c r="H21" s="54">
        <v>79.327164347826084</v>
      </c>
      <c r="I21" s="54">
        <v>89.107013571428567</v>
      </c>
      <c r="J21" s="54">
        <v>87.921265000000034</v>
      </c>
      <c r="K21" s="54">
        <v>89.517554090909101</v>
      </c>
      <c r="L21" s="54">
        <v>92.374237368421049</v>
      </c>
      <c r="M21" s="54">
        <v>99.759819499999978</v>
      </c>
      <c r="N21" s="55">
        <v>79.249166666666667</v>
      </c>
      <c r="O21" s="56" t="s">
        <v>155</v>
      </c>
      <c r="P21" s="59"/>
    </row>
    <row r="22" spans="1:16" s="57" customFormat="1" x14ac:dyDescent="0.45">
      <c r="A22" s="53" t="s">
        <v>156</v>
      </c>
      <c r="B22" s="54">
        <v>105.72015318181816</v>
      </c>
      <c r="C22" s="54">
        <v>120.90896144736843</v>
      </c>
      <c r="D22" s="54">
        <v>129.71535511904762</v>
      </c>
      <c r="E22" s="54">
        <v>132.47124826086957</v>
      </c>
      <c r="F22" s="54">
        <v>113.05438523809524</v>
      </c>
      <c r="G22" s="54">
        <v>96.812891590909103</v>
      </c>
      <c r="H22" s="54">
        <v>69.121526666666668</v>
      </c>
      <c r="I22" s="54">
        <v>50.907636000000011</v>
      </c>
      <c r="J22" s="54">
        <v>40.61143324999999</v>
      </c>
      <c r="K22" s="54">
        <v>43.986057631578959</v>
      </c>
      <c r="L22" s="54">
        <v>43.217028000000006</v>
      </c>
      <c r="M22" s="54">
        <v>46.021762045454544</v>
      </c>
      <c r="N22" s="55">
        <v>83.566666666666663</v>
      </c>
      <c r="O22" s="56" t="s">
        <v>157</v>
      </c>
      <c r="P22" s="59"/>
    </row>
    <row r="23" spans="1:16" s="57" customFormat="1" x14ac:dyDescent="0.45">
      <c r="A23" s="58" t="s">
        <v>158</v>
      </c>
      <c r="B23" s="54">
        <v>50.135601875000006</v>
      </c>
      <c r="C23" s="54">
        <v>58.003360416666673</v>
      </c>
      <c r="D23" s="54">
        <v>69.115276136363633</v>
      </c>
      <c r="E23" s="54">
        <v>64.82460978260869</v>
      </c>
      <c r="F23" s="54">
        <v>71.979192105263166</v>
      </c>
      <c r="G23" s="54">
        <v>67.701650000000001</v>
      </c>
      <c r="H23" s="54">
        <v>73.064288636363642</v>
      </c>
      <c r="I23" s="54">
        <v>77.390866249999959</v>
      </c>
      <c r="J23" s="54">
        <v>75.01622261904761</v>
      </c>
      <c r="K23" s="54">
        <v>76.608826250000021</v>
      </c>
      <c r="L23" s="54">
        <v>73.694277777777771</v>
      </c>
      <c r="M23" s="54">
        <v>78.018300000000025</v>
      </c>
      <c r="N23" s="55">
        <v>69.762270040485845</v>
      </c>
      <c r="O23" s="56" t="s">
        <v>159</v>
      </c>
      <c r="P23" s="59"/>
    </row>
    <row r="24" spans="1:16" s="57" customFormat="1" x14ac:dyDescent="0.45">
      <c r="A24" s="58" t="s">
        <v>160</v>
      </c>
      <c r="B24" s="54">
        <v>84.08172900000001</v>
      </c>
      <c r="C24" s="54">
        <v>76.161427777777774</v>
      </c>
      <c r="D24" s="54">
        <v>74.331090000000003</v>
      </c>
      <c r="E24" s="54">
        <v>73.543052272727266</v>
      </c>
      <c r="F24" s="54">
        <v>75.126988999999995</v>
      </c>
      <c r="G24" s="54">
        <v>76.092999999999989</v>
      </c>
      <c r="H24" s="54">
        <v>81.109814285714293</v>
      </c>
      <c r="I24" s="54">
        <v>84.255698500000008</v>
      </c>
      <c r="J24" s="54">
        <v>89.772982380952385</v>
      </c>
      <c r="K24" s="54">
        <v>93.868447999999987</v>
      </c>
      <c r="L24" s="54">
        <v>101.62099944444444</v>
      </c>
      <c r="M24" s="54">
        <v>110.71446956521741</v>
      </c>
      <c r="N24" s="55">
        <v>85.09</v>
      </c>
      <c r="O24" s="56" t="s">
        <v>161</v>
      </c>
      <c r="P24" s="59"/>
    </row>
    <row r="25" spans="1:16" s="57" customFormat="1" x14ac:dyDescent="0.45">
      <c r="A25" s="58" t="s">
        <v>162</v>
      </c>
      <c r="B25" s="54">
        <v>118.63579277777778</v>
      </c>
      <c r="C25" s="54">
        <v>110.80254368421052</v>
      </c>
      <c r="D25" s="54">
        <v>109.99406772727275</v>
      </c>
      <c r="E25" s="54">
        <v>112.52711428571428</v>
      </c>
      <c r="F25" s="54">
        <v>106.93536000000002</v>
      </c>
      <c r="G25" s="54">
        <v>108.79064681818183</v>
      </c>
      <c r="H25" s="54">
        <v>106.10836949999998</v>
      </c>
      <c r="I25" s="54">
        <v>109.61574428571427</v>
      </c>
      <c r="J25" s="54">
        <v>107.19388799999999</v>
      </c>
      <c r="K25" s="54">
        <v>110.46828473684211</v>
      </c>
      <c r="L25" s="54">
        <v>117.66619714285711</v>
      </c>
      <c r="M25" s="54">
        <v>123.61055818181818</v>
      </c>
      <c r="N25" s="55">
        <v>111.89</v>
      </c>
      <c r="O25" s="56" t="s">
        <v>163</v>
      </c>
      <c r="P25" s="59"/>
    </row>
    <row r="26" spans="1:16" s="57" customFormat="1" x14ac:dyDescent="0.45">
      <c r="A26" s="58" t="s">
        <v>164</v>
      </c>
      <c r="B26" s="54">
        <v>117.97451263157893</v>
      </c>
      <c r="C26" s="54">
        <v>108.05380666666667</v>
      </c>
      <c r="D26" s="54">
        <v>94.507602631578962</v>
      </c>
      <c r="E26" s="54">
        <v>100.33814000000001</v>
      </c>
      <c r="F26" s="54">
        <v>110.06828299999999</v>
      </c>
      <c r="G26" s="54">
        <v>111.77087950000001</v>
      </c>
      <c r="H26" s="54">
        <v>109.78858409090908</v>
      </c>
      <c r="I26" s="54">
        <v>107.87074714285717</v>
      </c>
      <c r="J26" s="54">
        <v>107.28096684210526</v>
      </c>
      <c r="K26" s="54">
        <v>109.55123681818182</v>
      </c>
      <c r="L26" s="54">
        <v>112.67557388888889</v>
      </c>
      <c r="M26" s="54">
        <v>106.44967000000001</v>
      </c>
      <c r="N26" s="55">
        <v>107.97</v>
      </c>
      <c r="O26" s="56" t="s">
        <v>165</v>
      </c>
      <c r="P26" s="59"/>
    </row>
    <row r="27" spans="1:16" x14ac:dyDescent="0.45">
      <c r="A27" s="53" t="s">
        <v>166</v>
      </c>
      <c r="B27" s="54">
        <v>101.57480404761903</v>
      </c>
      <c r="C27" s="54">
        <v>101.09704973684211</v>
      </c>
      <c r="D27" s="54">
        <v>101.11112850000002</v>
      </c>
      <c r="E27" s="54">
        <v>104.85975108695654</v>
      </c>
      <c r="F27" s="54">
        <v>108.45469894736839</v>
      </c>
      <c r="G27" s="54">
        <v>109.46571142857142</v>
      </c>
      <c r="H27" s="54">
        <v>107.37352068181818</v>
      </c>
      <c r="I27" s="54">
        <v>106.55480452380951</v>
      </c>
      <c r="J27" s="54">
        <v>108.71841975000002</v>
      </c>
      <c r="K27" s="54">
        <v>105.29499857142855</v>
      </c>
      <c r="L27" s="54">
        <v>106.18825474999998</v>
      </c>
      <c r="M27" s="54">
        <v>105.29528785714285</v>
      </c>
      <c r="N27" s="55">
        <v>105.52</v>
      </c>
      <c r="O27" s="56" t="s">
        <v>167</v>
      </c>
    </row>
    <row r="28" spans="1:16" x14ac:dyDescent="0.45">
      <c r="A28" s="53" t="s">
        <v>168</v>
      </c>
      <c r="B28" s="54">
        <v>105.55533930000001</v>
      </c>
      <c r="C28" s="54">
        <v>106.85322644444446</v>
      </c>
      <c r="D28" s="54">
        <v>109.0539181904762</v>
      </c>
      <c r="E28" s="54">
        <v>106.2961561818182</v>
      </c>
      <c r="F28" s="54">
        <v>101.89198810000001</v>
      </c>
      <c r="G28" s="54">
        <v>96.959094045454563</v>
      </c>
      <c r="H28" s="54">
        <v>86.827638380952408</v>
      </c>
      <c r="I28" s="54">
        <v>77.581451350000009</v>
      </c>
      <c r="J28" s="54">
        <v>61.211098238095246</v>
      </c>
      <c r="K28" s="54">
        <v>46.586617428571437</v>
      </c>
      <c r="L28" s="54">
        <v>56.430382166666682</v>
      </c>
      <c r="M28" s="54">
        <v>55.176776090909101</v>
      </c>
      <c r="N28" s="55">
        <v>84.156300105691088</v>
      </c>
      <c r="O28" s="56" t="s">
        <v>169</v>
      </c>
    </row>
    <row r="29" spans="1:16" x14ac:dyDescent="0.45">
      <c r="A29" s="53" t="s">
        <v>170</v>
      </c>
      <c r="B29" s="54">
        <v>59.070307599999992</v>
      </c>
      <c r="C29" s="54">
        <v>63.821381000000002</v>
      </c>
      <c r="D29" s="54">
        <v>61.745464190476184</v>
      </c>
      <c r="E29" s="54">
        <v>56.300030227272721</v>
      </c>
      <c r="F29" s="54">
        <v>47.327433333333339</v>
      </c>
      <c r="G29" s="54">
        <v>46.104868599999996</v>
      </c>
      <c r="H29" s="54">
        <v>46.675260727272715</v>
      </c>
      <c r="I29" s="54">
        <v>42.504005149999998</v>
      </c>
      <c r="J29" s="54">
        <v>35.680888380952382</v>
      </c>
      <c r="K29" s="54">
        <v>28.078798200000005</v>
      </c>
      <c r="L29" s="54">
        <v>30.525591894736845</v>
      </c>
      <c r="M29" s="54">
        <v>36.421309142857147</v>
      </c>
      <c r="N29" s="55">
        <v>46.16562723966944</v>
      </c>
      <c r="O29" s="56" t="s">
        <v>171</v>
      </c>
    </row>
    <row r="30" spans="1:16" x14ac:dyDescent="0.45">
      <c r="A30" s="53" t="s">
        <v>172</v>
      </c>
      <c r="B30" s="54">
        <v>39.879094571428574</v>
      </c>
      <c r="C30" s="54">
        <v>45.006805849999999</v>
      </c>
      <c r="D30" s="54">
        <v>46.963111931818183</v>
      </c>
      <c r="E30" s="54">
        <v>43.519136674999999</v>
      </c>
      <c r="F30" s="54">
        <v>44.384978928571435</v>
      </c>
      <c r="G30" s="54">
        <v>44.480860166666659</v>
      </c>
      <c r="H30" s="54">
        <v>49.252621083333331</v>
      </c>
      <c r="I30" s="54">
        <v>44.456194318181822</v>
      </c>
      <c r="J30" s="54">
        <v>52.735649124999995</v>
      </c>
      <c r="K30" s="54">
        <v>54.077528250000015</v>
      </c>
      <c r="L30" s="54">
        <v>54.86268470000001</v>
      </c>
      <c r="M30" s="54">
        <v>51.469629652173914</v>
      </c>
      <c r="N30" s="55">
        <v>47.557812594621531</v>
      </c>
      <c r="O30" s="56" t="s">
        <v>173</v>
      </c>
    </row>
    <row r="31" spans="1:16" x14ac:dyDescent="0.45">
      <c r="A31" s="53" t="s">
        <v>174</v>
      </c>
      <c r="B31" s="54">
        <v>52.490691055555551</v>
      </c>
      <c r="C31" s="54">
        <v>50.567623025000003</v>
      </c>
      <c r="D31" s="54">
        <v>46.555774</v>
      </c>
      <c r="E31" s="54">
        <v>47.857632880952387</v>
      </c>
      <c r="F31" s="54">
        <v>50.633570880952391</v>
      </c>
      <c r="G31" s="54">
        <v>54.523307750000001</v>
      </c>
      <c r="H31" s="54">
        <v>56.059518095238097</v>
      </c>
      <c r="I31" s="54">
        <v>61.315904545454551</v>
      </c>
      <c r="J31" s="54">
        <v>62.290080157894742</v>
      </c>
      <c r="K31" s="54">
        <v>67.060153386363623</v>
      </c>
      <c r="L31" s="54">
        <v>63.537335763157884</v>
      </c>
      <c r="M31" s="54">
        <v>63.795413214285702</v>
      </c>
      <c r="N31" s="55">
        <v>56.426878865306136</v>
      </c>
      <c r="O31" s="56" t="s">
        <v>175</v>
      </c>
    </row>
    <row r="32" spans="1:16" x14ac:dyDescent="0.45">
      <c r="A32" s="53" t="s">
        <v>176</v>
      </c>
      <c r="B32" s="54">
        <v>69.219098437499994</v>
      </c>
      <c r="C32" s="54">
        <v>75.252045250000009</v>
      </c>
      <c r="D32" s="54">
        <v>73.825793025000024</v>
      </c>
      <c r="E32" s="54">
        <v>73.468274863636353</v>
      </c>
      <c r="F32" s="54">
        <v>72.5347376</v>
      </c>
      <c r="G32" s="54">
        <v>77.883389637499988</v>
      </c>
      <c r="H32" s="54">
        <v>80.082670250000007</v>
      </c>
      <c r="I32" s="54">
        <v>65.399219369047628</v>
      </c>
      <c r="J32" s="54">
        <v>57.772638352941186</v>
      </c>
      <c r="K32" s="54">
        <v>59.26800257954546</v>
      </c>
      <c r="L32" s="54">
        <v>64.534530625000002</v>
      </c>
      <c r="M32" s="54">
        <v>66.739999999999995</v>
      </c>
      <c r="N32" s="55">
        <v>69.88</v>
      </c>
      <c r="O32" s="56" t="s">
        <v>177</v>
      </c>
    </row>
    <row r="33" spans="1:15" x14ac:dyDescent="0.45">
      <c r="A33" s="53" t="s">
        <v>178</v>
      </c>
      <c r="B33" s="54">
        <v>71.000922499999987</v>
      </c>
      <c r="C33" s="54">
        <v>70.013724342105249</v>
      </c>
      <c r="D33" s="54">
        <v>62.374424999999988</v>
      </c>
      <c r="E33" s="54">
        <v>63.627010326086953</v>
      </c>
      <c r="F33" s="54">
        <v>59.349817105263163</v>
      </c>
      <c r="G33" s="54">
        <v>61.723273214285719</v>
      </c>
      <c r="H33" s="54">
        <v>59.703420454545466</v>
      </c>
      <c r="I33" s="54">
        <v>62.53257261904762</v>
      </c>
      <c r="J33" s="54">
        <v>65.502042500000016</v>
      </c>
      <c r="K33" s="54">
        <v>64.309747023809535</v>
      </c>
      <c r="L33" s="54">
        <v>54.627359999999996</v>
      </c>
      <c r="M33" s="54">
        <v>33.358738068181822</v>
      </c>
      <c r="N33" s="55">
        <v>60.470826062752998</v>
      </c>
      <c r="O33" s="56" t="s">
        <v>179</v>
      </c>
    </row>
    <row r="34" spans="1:15" x14ac:dyDescent="0.45">
      <c r="A34" s="53" t="s">
        <v>180</v>
      </c>
      <c r="B34" s="54">
        <v>19.901683749999997</v>
      </c>
      <c r="C34" s="54">
        <v>30.605539617647054</v>
      </c>
      <c r="D34" s="54">
        <v>40.633868636363637</v>
      </c>
      <c r="E34" s="54">
        <v>43.347552547619046</v>
      </c>
      <c r="F34" s="54">
        <v>44.190017605263151</v>
      </c>
      <c r="G34" s="54">
        <v>41.35410665909091</v>
      </c>
      <c r="H34" s="54">
        <v>40.658228000000001</v>
      </c>
      <c r="I34" s="54">
        <v>43.340640499999999</v>
      </c>
      <c r="J34" s="54">
        <v>49.839816952380943</v>
      </c>
      <c r="K34" s="54">
        <v>54.794569624999994</v>
      </c>
      <c r="L34" s="54">
        <v>61.216117289473672</v>
      </c>
      <c r="M34" s="54">
        <v>64.729496782608663</v>
      </c>
      <c r="N34" s="55">
        <v>44.821938917004019</v>
      </c>
      <c r="O34" s="56" t="s">
        <v>181</v>
      </c>
    </row>
    <row r="35" spans="1:15" x14ac:dyDescent="0.45">
      <c r="A35" s="53" t="s">
        <v>182</v>
      </c>
      <c r="B35" s="54">
        <v>63.396976500000008</v>
      </c>
      <c r="C35" s="54">
        <v>66.953084852941174</v>
      </c>
      <c r="D35" s="54">
        <v>71.982647477272721</v>
      </c>
      <c r="E35" s="54">
        <v>73.539060523809511</v>
      </c>
      <c r="F35" s="54">
        <v>69.804724424999989</v>
      </c>
      <c r="G35" s="54">
        <v>73.130738295454549</v>
      </c>
      <c r="H35" s="54">
        <v>82.107393785714294</v>
      </c>
      <c r="I35" s="54">
        <v>80.637301023809528</v>
      </c>
      <c r="J35" s="54">
        <v>73.298823523809531</v>
      </c>
      <c r="K35" s="54">
        <v>84.666318799999985</v>
      </c>
      <c r="L35" s="54">
        <v>94.067715194444446</v>
      </c>
      <c r="M35" s="54">
        <v>112.87479254347826</v>
      </c>
      <c r="N35" s="55">
        <v>79.181425130081294</v>
      </c>
      <c r="O35" s="56" t="s">
        <v>181</v>
      </c>
    </row>
    <row r="36" spans="1:15" x14ac:dyDescent="0.45">
      <c r="A36" s="53" t="s">
        <v>183</v>
      </c>
      <c r="B36" s="54">
        <v>102.96599786842103</v>
      </c>
      <c r="C36" s="54">
        <v>109.50503773684208</v>
      </c>
      <c r="D36" s="54">
        <v>116.01138504999999</v>
      </c>
      <c r="E36" s="54">
        <v>105.49124737500001</v>
      </c>
      <c r="F36" s="54">
        <v>97.404465428571427</v>
      </c>
      <c r="G36" s="54">
        <v>90.706344809523813</v>
      </c>
      <c r="H36" s="54">
        <v>91.698948700000003</v>
      </c>
      <c r="I36" s="54">
        <v>87.552266068181822</v>
      </c>
      <c r="J36" s="54">
        <v>78.100942275000008</v>
      </c>
      <c r="K36" s="54">
        <v>80.922269684210534</v>
      </c>
      <c r="L36" s="54">
        <v>82.278706675000009</v>
      </c>
      <c r="M36" s="54">
        <v>78.539480282608693</v>
      </c>
      <c r="N36" s="55">
        <v>93.151566872950767</v>
      </c>
      <c r="O36" s="56" t="s">
        <v>181</v>
      </c>
    </row>
    <row r="37" spans="1:15" x14ac:dyDescent="0.45">
      <c r="A37" s="53" t="s">
        <v>184</v>
      </c>
      <c r="B37" s="54">
        <v>83.755358416666667</v>
      </c>
      <c r="C37" s="54">
        <v>74.981547824999993</v>
      </c>
      <c r="D37" s="54">
        <v>74.928252024999992</v>
      </c>
      <c r="E37" s="54">
        <v>80.368492428571415</v>
      </c>
      <c r="F37" s="54">
        <v>86.426703761904761</v>
      </c>
      <c r="G37" s="54">
        <v>93.539339400000003</v>
      </c>
      <c r="H37" s="54">
        <v>90.080343022727263</v>
      </c>
      <c r="I37" s="54">
        <v>83.455368214285699</v>
      </c>
      <c r="J37" s="54">
        <v>77.419721631578938</v>
      </c>
      <c r="K37" s="54">
        <v>79.216541545454547</v>
      </c>
      <c r="L37" s="54">
        <v>81.621881399999992</v>
      </c>
      <c r="M37" s="54">
        <v>84.486883150000011</v>
      </c>
      <c r="N37" s="55">
        <v>82.580010456967216</v>
      </c>
      <c r="O37" s="56" t="s">
        <v>181</v>
      </c>
    </row>
    <row r="38" spans="1:15" x14ac:dyDescent="0.45">
      <c r="A38" s="53" t="s">
        <v>185</v>
      </c>
      <c r="B38" s="54">
        <v>89.437476250000003</v>
      </c>
      <c r="C38" s="54">
        <v>83.624938157894732</v>
      </c>
      <c r="D38" s="54">
        <v>82.552871052631588</v>
      </c>
      <c r="E38" s="54">
        <v>84.148165217391295</v>
      </c>
      <c r="F38" s="54">
        <v>78.270687499999994</v>
      </c>
      <c r="G38" s="54">
        <v>73.694888690476205</v>
      </c>
      <c r="H38" s="54">
        <v>75.124704545454534</v>
      </c>
      <c r="I38" s="54">
        <v>73.016986904761893</v>
      </c>
      <c r="J38" s="54">
        <v>73.336846874999978</v>
      </c>
      <c r="K38" s="54">
        <v>80.196197499999997</v>
      </c>
      <c r="L38" s="54">
        <v>77.328566875000007</v>
      </c>
      <c r="M38" s="54">
        <v>72.466606250000012</v>
      </c>
      <c r="N38" s="55">
        <v>78.560027295918331</v>
      </c>
      <c r="O38" s="56" t="s">
        <v>186</v>
      </c>
    </row>
    <row r="39" spans="1:15" x14ac:dyDescent="0.45">
      <c r="A39" s="60" t="s">
        <v>187</v>
      </c>
      <c r="B39" s="61"/>
      <c r="C39" s="61"/>
      <c r="D39" s="61"/>
      <c r="E39" s="61"/>
      <c r="F39" s="61"/>
      <c r="G39" s="62"/>
      <c r="H39" s="62"/>
      <c r="I39" s="62"/>
      <c r="J39" s="62"/>
      <c r="K39" s="62"/>
      <c r="L39" s="62"/>
      <c r="M39" s="62"/>
    </row>
    <row r="40" spans="1:15" x14ac:dyDescent="0.45">
      <c r="A40" s="94" t="s">
        <v>188</v>
      </c>
      <c r="B40" s="94"/>
      <c r="C40" s="94"/>
      <c r="D40" s="94"/>
      <c r="E40" s="94"/>
      <c r="F40" s="94"/>
      <c r="G40" s="94"/>
      <c r="H40" s="94"/>
      <c r="I40" s="94"/>
      <c r="J40" s="94"/>
      <c r="K40" s="94"/>
      <c r="L40" s="94"/>
      <c r="M40" s="94"/>
      <c r="N40" s="94"/>
      <c r="O40" s="94"/>
    </row>
    <row r="41" spans="1:15" x14ac:dyDescent="0.45">
      <c r="A41" s="94" t="s">
        <v>189</v>
      </c>
      <c r="B41" s="94"/>
      <c r="C41" s="94"/>
      <c r="D41" s="94"/>
      <c r="E41" s="94"/>
      <c r="F41" s="94"/>
      <c r="G41" s="94"/>
      <c r="H41" s="94"/>
      <c r="I41" s="94"/>
      <c r="J41" s="94"/>
      <c r="K41" s="94"/>
      <c r="L41" s="94"/>
      <c r="M41" s="94"/>
      <c r="N41" s="94"/>
      <c r="O41" s="94"/>
    </row>
    <row r="43" spans="1:15" x14ac:dyDescent="0.45">
      <c r="B43" s="64"/>
      <c r="C43" s="64"/>
      <c r="D43" s="64"/>
      <c r="E43" s="64"/>
      <c r="F43" s="64"/>
      <c r="G43" s="64"/>
      <c r="H43" s="64"/>
      <c r="I43" s="64"/>
      <c r="J43" s="64"/>
      <c r="K43" s="64"/>
      <c r="L43" s="64"/>
      <c r="M43" s="64"/>
    </row>
    <row r="44" spans="1:15" x14ac:dyDescent="0.45">
      <c r="B44" s="64"/>
      <c r="C44" s="64"/>
      <c r="D44" s="64"/>
      <c r="E44" s="64"/>
      <c r="F44" s="64"/>
      <c r="G44" s="64"/>
      <c r="H44" s="64"/>
      <c r="I44" s="64"/>
      <c r="J44" s="64"/>
      <c r="K44" s="64"/>
      <c r="L44" s="64"/>
      <c r="M44" s="64"/>
    </row>
    <row r="45" spans="1:15" x14ac:dyDescent="0.45">
      <c r="B45" s="64"/>
      <c r="C45" s="64"/>
      <c r="D45" s="64"/>
      <c r="E45" s="64"/>
      <c r="F45" s="64"/>
      <c r="G45" s="64"/>
      <c r="H45" s="64"/>
      <c r="I45" s="64"/>
      <c r="J45" s="64"/>
      <c r="K45" s="64"/>
      <c r="L45" s="64"/>
      <c r="M45" s="64"/>
    </row>
    <row r="46" spans="1:15" x14ac:dyDescent="0.45">
      <c r="B46" s="64"/>
      <c r="C46" s="64"/>
      <c r="D46" s="64"/>
      <c r="E46" s="64"/>
      <c r="F46" s="64"/>
      <c r="G46" s="64"/>
      <c r="H46" s="64"/>
      <c r="I46" s="64"/>
      <c r="J46" s="64"/>
      <c r="K46" s="64"/>
      <c r="L46" s="64"/>
      <c r="M46" s="64"/>
    </row>
    <row r="47" spans="1:15" x14ac:dyDescent="0.45">
      <c r="B47" s="64"/>
      <c r="C47" s="64"/>
      <c r="D47" s="64"/>
      <c r="E47" s="64"/>
      <c r="F47" s="64"/>
      <c r="G47" s="64"/>
      <c r="H47" s="64"/>
      <c r="I47" s="64"/>
      <c r="J47" s="64"/>
      <c r="K47" s="64"/>
      <c r="L47" s="64"/>
      <c r="M47" s="64"/>
    </row>
    <row r="48" spans="1:15" x14ac:dyDescent="0.45">
      <c r="B48" s="64"/>
      <c r="C48" s="64"/>
      <c r="D48" s="64"/>
      <c r="E48" s="64"/>
      <c r="F48" s="64"/>
      <c r="G48" s="64"/>
      <c r="H48" s="64"/>
      <c r="I48" s="64"/>
      <c r="J48" s="64"/>
      <c r="K48" s="64"/>
      <c r="L48" s="64"/>
      <c r="M48" s="64"/>
    </row>
    <row r="49" spans="2:13" x14ac:dyDescent="0.45">
      <c r="B49" s="64"/>
      <c r="C49" s="64"/>
      <c r="D49" s="64"/>
      <c r="E49" s="64"/>
      <c r="F49" s="64"/>
      <c r="G49" s="64"/>
      <c r="H49" s="64"/>
      <c r="I49" s="64"/>
      <c r="J49" s="64"/>
      <c r="K49" s="64"/>
      <c r="L49" s="64"/>
      <c r="M49" s="64"/>
    </row>
    <row r="50" spans="2:13" x14ac:dyDescent="0.45">
      <c r="B50" s="64"/>
      <c r="C50" s="64"/>
      <c r="D50" s="64"/>
      <c r="E50" s="64"/>
      <c r="F50" s="64"/>
      <c r="G50" s="64"/>
      <c r="H50" s="64"/>
      <c r="I50" s="64"/>
      <c r="J50" s="64"/>
      <c r="K50" s="64"/>
      <c r="L50" s="64"/>
      <c r="M50" s="64"/>
    </row>
    <row r="51" spans="2:13" x14ac:dyDescent="0.45">
      <c r="B51" s="64"/>
      <c r="C51" s="64"/>
      <c r="D51" s="64"/>
      <c r="E51" s="64"/>
      <c r="F51" s="64"/>
      <c r="G51" s="64"/>
      <c r="H51" s="64"/>
      <c r="I51" s="64"/>
      <c r="J51" s="64"/>
      <c r="K51" s="64"/>
      <c r="L51" s="64"/>
      <c r="M51" s="64"/>
    </row>
    <row r="52" spans="2:13" x14ac:dyDescent="0.45">
      <c r="B52" s="64"/>
      <c r="C52" s="64"/>
      <c r="D52" s="64"/>
      <c r="E52" s="64"/>
      <c r="F52" s="64"/>
      <c r="G52" s="64"/>
      <c r="H52" s="64"/>
      <c r="I52" s="64"/>
      <c r="J52" s="64"/>
      <c r="K52" s="64"/>
      <c r="L52" s="64"/>
      <c r="M52" s="64"/>
    </row>
    <row r="53" spans="2:13" x14ac:dyDescent="0.45">
      <c r="B53" s="64"/>
      <c r="C53" s="64"/>
      <c r="D53" s="64"/>
      <c r="E53" s="64"/>
      <c r="F53" s="64"/>
      <c r="G53" s="64"/>
      <c r="H53" s="64"/>
      <c r="I53" s="64"/>
      <c r="J53" s="64"/>
      <c r="K53" s="64"/>
      <c r="L53" s="64"/>
      <c r="M53" s="64"/>
    </row>
  </sheetData>
  <mergeCells count="5">
    <mergeCell ref="A2:O2"/>
    <mergeCell ref="A8:O8"/>
    <mergeCell ref="A40:O40"/>
    <mergeCell ref="A41:O41"/>
    <mergeCell ref="I3:M3"/>
  </mergeCells>
  <hyperlinks>
    <hyperlink ref="I3" r:id="rId1" xr:uid="{472DFB7E-3214-4377-ABD0-A5FEF43EB305}"/>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D7F7-BC6C-48DF-8C62-9868DFA4DC05}">
  <dimension ref="A1:S47"/>
  <sheetViews>
    <sheetView showGridLines="0" workbookViewId="0">
      <selection activeCell="K33" sqref="K33"/>
    </sheetView>
  </sheetViews>
  <sheetFormatPr defaultRowHeight="14.25" x14ac:dyDescent="0.45"/>
  <cols>
    <col min="1" max="1" width="16.46484375" customWidth="1"/>
    <col min="2" max="2" width="10.59765625" bestFit="1" customWidth="1"/>
    <col min="3" max="3" width="14.19921875" customWidth="1"/>
    <col min="4" max="4" width="11.06640625" bestFit="1" customWidth="1"/>
    <col min="5" max="6" width="6.59765625" bestFit="1" customWidth="1"/>
    <col min="7" max="7" width="10.53125" bestFit="1" customWidth="1"/>
    <col min="8" max="8" width="10.59765625" bestFit="1" customWidth="1"/>
    <col min="9" max="9" width="14.06640625" customWidth="1"/>
    <col min="10" max="10" width="10.19921875" bestFit="1" customWidth="1"/>
    <col min="11" max="11" width="9.9296875" bestFit="1" customWidth="1"/>
    <col min="12" max="12" width="8.265625" bestFit="1" customWidth="1"/>
    <col min="13" max="13" width="9.33203125" bestFit="1" customWidth="1"/>
    <col min="14" max="14" width="6.9296875" bestFit="1" customWidth="1"/>
    <col min="15" max="15" width="27.1328125" bestFit="1" customWidth="1"/>
    <col min="16" max="16" width="22.3984375" bestFit="1" customWidth="1"/>
    <col min="17" max="17" width="9.46484375" bestFit="1" customWidth="1"/>
    <col min="18" max="18" width="15.3984375" bestFit="1" customWidth="1"/>
    <col min="19" max="19" width="23" bestFit="1" customWidth="1"/>
    <col min="20" max="20" width="4.73046875" bestFit="1" customWidth="1"/>
    <col min="21" max="21" width="9.265625" bestFit="1" customWidth="1"/>
    <col min="22" max="22" width="5.73046875" bestFit="1" customWidth="1"/>
    <col min="23" max="23" width="7.19921875" bestFit="1" customWidth="1"/>
    <col min="24" max="24" width="8.6640625" bestFit="1" customWidth="1"/>
    <col min="25" max="25" width="6.1328125" bestFit="1" customWidth="1"/>
    <col min="26" max="26" width="6.06640625" bestFit="1" customWidth="1"/>
    <col min="27" max="27" width="27.1328125" bestFit="1" customWidth="1"/>
    <col min="28" max="28" width="22.3984375" bestFit="1" customWidth="1"/>
    <col min="29" max="29" width="9.46484375" bestFit="1" customWidth="1"/>
    <col min="30" max="30" width="15.3984375" bestFit="1" customWidth="1"/>
    <col min="31" max="31" width="23" bestFit="1" customWidth="1"/>
  </cols>
  <sheetData>
    <row r="1" spans="1:19" ht="14.25" customHeight="1" x14ac:dyDescent="0.45">
      <c r="A1" s="98" t="s">
        <v>190</v>
      </c>
      <c r="B1" s="98"/>
      <c r="C1" s="98"/>
      <c r="E1" s="11"/>
      <c r="F1" s="11"/>
      <c r="G1" s="71" t="s">
        <v>0</v>
      </c>
      <c r="H1" s="65" t="s">
        <v>1</v>
      </c>
      <c r="I1" s="65" t="s">
        <v>2</v>
      </c>
      <c r="J1" s="65" t="s">
        <v>49</v>
      </c>
      <c r="K1" s="65" t="s">
        <v>20</v>
      </c>
      <c r="L1" s="65" t="s">
        <v>26</v>
      </c>
      <c r="M1" s="65" t="s">
        <v>50</v>
      </c>
      <c r="N1" s="65" t="s">
        <v>23</v>
      </c>
      <c r="O1" s="65" t="s">
        <v>55</v>
      </c>
      <c r="P1" s="65" t="s">
        <v>110</v>
      </c>
      <c r="Q1" s="65" t="s">
        <v>52</v>
      </c>
      <c r="R1" s="65" t="s">
        <v>53</v>
      </c>
      <c r="S1" s="65" t="s">
        <v>54</v>
      </c>
    </row>
    <row r="2" spans="1:19" x14ac:dyDescent="0.45">
      <c r="A2" s="74" t="s">
        <v>1</v>
      </c>
      <c r="B2" s="75" t="s">
        <v>83</v>
      </c>
      <c r="C2" s="76" t="s">
        <v>182</v>
      </c>
      <c r="D2" s="73"/>
      <c r="G2" s="72" t="s">
        <v>34</v>
      </c>
      <c r="H2" s="25">
        <v>2021</v>
      </c>
      <c r="I2" s="25" t="s">
        <v>37</v>
      </c>
      <c r="J2" s="25">
        <v>158</v>
      </c>
      <c r="K2" s="25">
        <v>161.4</v>
      </c>
      <c r="L2" s="25">
        <v>160.30000000000001</v>
      </c>
      <c r="M2" s="25">
        <v>155.6</v>
      </c>
      <c r="N2" s="25">
        <v>162.30000000000001</v>
      </c>
      <c r="O2" s="25">
        <v>146.6</v>
      </c>
      <c r="P2" s="25">
        <v>156.35000000000002</v>
      </c>
      <c r="Q2" s="25">
        <v>153.19999999999999</v>
      </c>
      <c r="R2" s="25">
        <v>188.8</v>
      </c>
      <c r="S2" s="25">
        <v>153.10000000000002</v>
      </c>
    </row>
    <row r="3" spans="1:19" x14ac:dyDescent="0.45">
      <c r="A3" s="74">
        <v>2021</v>
      </c>
      <c r="B3" s="75">
        <v>33329</v>
      </c>
      <c r="C3" s="77">
        <v>63.396976500000008</v>
      </c>
      <c r="G3" s="25" t="s">
        <v>34</v>
      </c>
      <c r="H3" s="25">
        <v>2021</v>
      </c>
      <c r="I3" s="25" t="s">
        <v>38</v>
      </c>
      <c r="J3" s="25">
        <v>160.69999999999999</v>
      </c>
      <c r="K3" s="25">
        <v>161.6</v>
      </c>
      <c r="L3" s="25">
        <v>161.19999999999999</v>
      </c>
      <c r="M3" s="25">
        <v>159.4</v>
      </c>
      <c r="N3" s="25">
        <v>165.8</v>
      </c>
      <c r="O3" s="25">
        <v>148.9</v>
      </c>
      <c r="P3" s="25">
        <v>159.5</v>
      </c>
      <c r="Q3" s="25">
        <v>155.80000000000001</v>
      </c>
      <c r="R3" s="25">
        <v>191.9</v>
      </c>
      <c r="S3" s="25">
        <v>155.75</v>
      </c>
    </row>
    <row r="4" spans="1:19" x14ac:dyDescent="0.45">
      <c r="A4" s="74">
        <v>2021</v>
      </c>
      <c r="B4" s="75">
        <v>33359</v>
      </c>
      <c r="C4" s="77">
        <v>66.953084852941174</v>
      </c>
      <c r="G4" s="25" t="s">
        <v>34</v>
      </c>
      <c r="H4" s="25">
        <v>2021</v>
      </c>
      <c r="I4" s="25" t="s">
        <v>39</v>
      </c>
      <c r="J4" s="25">
        <v>162.6</v>
      </c>
      <c r="K4" s="25">
        <v>160.5</v>
      </c>
      <c r="L4" s="25">
        <v>161.69999999999999</v>
      </c>
      <c r="M4" s="25">
        <v>159.80000000000001</v>
      </c>
      <c r="N4" s="25">
        <v>166.3</v>
      </c>
      <c r="O4" s="25">
        <v>150.69999999999999</v>
      </c>
      <c r="P4" s="25">
        <v>159.75</v>
      </c>
      <c r="Q4" s="25">
        <v>154.9</v>
      </c>
      <c r="R4" s="25">
        <v>190.8</v>
      </c>
      <c r="S4" s="25">
        <v>156.19999999999999</v>
      </c>
    </row>
    <row r="5" spans="1:19" x14ac:dyDescent="0.45">
      <c r="A5" s="74">
        <v>2021</v>
      </c>
      <c r="B5" s="75">
        <v>33390</v>
      </c>
      <c r="C5" s="77">
        <v>71.982647477272721</v>
      </c>
      <c r="G5" s="25" t="s">
        <v>34</v>
      </c>
      <c r="H5" s="25">
        <v>2021</v>
      </c>
      <c r="I5" s="25" t="s">
        <v>40</v>
      </c>
      <c r="J5" s="25">
        <v>164</v>
      </c>
      <c r="K5" s="25">
        <v>161.5</v>
      </c>
      <c r="L5" s="25">
        <v>163.19999999999999</v>
      </c>
      <c r="M5" s="25">
        <v>160.69999999999999</v>
      </c>
      <c r="N5" s="25">
        <v>167</v>
      </c>
      <c r="O5" s="25">
        <v>153.1</v>
      </c>
      <c r="P5" s="25">
        <v>160.75</v>
      </c>
      <c r="Q5" s="25">
        <v>155.30000000000001</v>
      </c>
      <c r="R5" s="25">
        <v>191.2</v>
      </c>
      <c r="S5" s="25">
        <v>157.4</v>
      </c>
    </row>
    <row r="6" spans="1:19" x14ac:dyDescent="0.45">
      <c r="A6" s="74">
        <v>2021</v>
      </c>
      <c r="B6" s="75">
        <v>33420</v>
      </c>
      <c r="C6" s="77">
        <v>73.539060523809511</v>
      </c>
      <c r="G6" s="25" t="s">
        <v>34</v>
      </c>
      <c r="H6" s="25">
        <v>2021</v>
      </c>
      <c r="I6" s="25" t="s">
        <v>41</v>
      </c>
      <c r="J6" s="25">
        <v>164</v>
      </c>
      <c r="K6" s="25">
        <v>162.1</v>
      </c>
      <c r="L6" s="25">
        <v>163.80000000000001</v>
      </c>
      <c r="M6" s="25">
        <v>162.6</v>
      </c>
      <c r="N6" s="25">
        <v>168.4</v>
      </c>
      <c r="O6" s="25">
        <v>154</v>
      </c>
      <c r="P6" s="25">
        <v>161.6</v>
      </c>
      <c r="Q6" s="25">
        <v>157.6</v>
      </c>
      <c r="R6" s="25">
        <v>192.1</v>
      </c>
      <c r="S6" s="25">
        <v>158.75</v>
      </c>
    </row>
    <row r="7" spans="1:19" x14ac:dyDescent="0.45">
      <c r="A7" s="74">
        <v>2021</v>
      </c>
      <c r="B7" s="75">
        <v>33451</v>
      </c>
      <c r="C7" s="77">
        <v>69.804724424999989</v>
      </c>
      <c r="G7" s="25" t="s">
        <v>34</v>
      </c>
      <c r="H7" s="25">
        <v>2021</v>
      </c>
      <c r="I7" s="25" t="s">
        <v>42</v>
      </c>
      <c r="J7" s="25">
        <v>164</v>
      </c>
      <c r="K7" s="25">
        <v>162.1</v>
      </c>
      <c r="L7" s="25">
        <v>163.69999999999999</v>
      </c>
      <c r="M7" s="25">
        <v>162.6</v>
      </c>
      <c r="N7" s="25">
        <v>168.4</v>
      </c>
      <c r="O7" s="25">
        <v>154</v>
      </c>
      <c r="P7" s="25">
        <v>161.65</v>
      </c>
      <c r="Q7" s="25">
        <v>157.69999999999999</v>
      </c>
      <c r="R7" s="25">
        <v>192.1</v>
      </c>
      <c r="S7" s="25">
        <v>158.75</v>
      </c>
    </row>
    <row r="8" spans="1:19" x14ac:dyDescent="0.45">
      <c r="A8" s="74">
        <v>2021</v>
      </c>
      <c r="B8" s="75">
        <v>33482</v>
      </c>
      <c r="C8" s="77">
        <v>73.130738295454549</v>
      </c>
      <c r="G8" s="25" t="s">
        <v>34</v>
      </c>
      <c r="H8" s="25">
        <v>2021</v>
      </c>
      <c r="I8" s="25" t="s">
        <v>43</v>
      </c>
      <c r="J8" s="25">
        <v>167.7</v>
      </c>
      <c r="K8" s="25">
        <v>163.6</v>
      </c>
      <c r="L8" s="25">
        <v>163.9</v>
      </c>
      <c r="M8" s="25">
        <v>164.2</v>
      </c>
      <c r="N8" s="25">
        <v>169.1</v>
      </c>
      <c r="O8" s="25">
        <v>155.69999999999999</v>
      </c>
      <c r="P8" s="25">
        <v>162.55000000000001</v>
      </c>
      <c r="Q8" s="25">
        <v>158.6</v>
      </c>
      <c r="R8" s="25">
        <v>192.7</v>
      </c>
      <c r="S8" s="25">
        <v>159.69999999999999</v>
      </c>
    </row>
    <row r="9" spans="1:19" x14ac:dyDescent="0.45">
      <c r="A9" s="74">
        <v>2021</v>
      </c>
      <c r="B9" s="75">
        <v>33512</v>
      </c>
      <c r="C9" s="77">
        <v>82.107393785714294</v>
      </c>
      <c r="G9" s="25" t="s">
        <v>34</v>
      </c>
      <c r="H9" s="25">
        <v>2021</v>
      </c>
      <c r="I9" s="25" t="s">
        <v>45</v>
      </c>
      <c r="J9" s="25">
        <v>169.7</v>
      </c>
      <c r="K9" s="25">
        <v>164.2</v>
      </c>
      <c r="L9" s="25">
        <v>164.3</v>
      </c>
      <c r="M9" s="25">
        <v>163.9</v>
      </c>
      <c r="N9" s="25">
        <v>169.9</v>
      </c>
      <c r="O9" s="25">
        <v>154.80000000000001</v>
      </c>
      <c r="P9" s="25">
        <v>164</v>
      </c>
      <c r="Q9" s="25">
        <v>159.80000000000001</v>
      </c>
      <c r="R9" s="25">
        <v>192.9</v>
      </c>
      <c r="S9" s="25">
        <v>160.35000000000002</v>
      </c>
    </row>
    <row r="10" spans="1:19" x14ac:dyDescent="0.45">
      <c r="A10" s="74">
        <v>2021</v>
      </c>
      <c r="B10" s="75">
        <v>33543</v>
      </c>
      <c r="C10" s="77">
        <v>80.637301023809528</v>
      </c>
      <c r="G10" s="25" t="s">
        <v>34</v>
      </c>
      <c r="H10" s="25">
        <v>2021</v>
      </c>
      <c r="I10" s="25" t="s">
        <v>46</v>
      </c>
      <c r="J10" s="25">
        <v>168.2</v>
      </c>
      <c r="K10" s="25">
        <v>163.4</v>
      </c>
      <c r="L10" s="25">
        <v>164.4</v>
      </c>
      <c r="M10" s="25">
        <v>164.1</v>
      </c>
      <c r="N10" s="25">
        <v>170.6</v>
      </c>
      <c r="O10" s="25">
        <v>155.69999999999999</v>
      </c>
      <c r="P10" s="25">
        <v>164.8</v>
      </c>
      <c r="Q10" s="25">
        <v>160.6</v>
      </c>
      <c r="R10" s="25">
        <v>192.4</v>
      </c>
      <c r="S10" s="25">
        <v>161.1</v>
      </c>
    </row>
    <row r="11" spans="1:19" x14ac:dyDescent="0.45">
      <c r="A11" s="74">
        <v>2021</v>
      </c>
      <c r="B11" s="75">
        <v>33573</v>
      </c>
      <c r="C11" s="77">
        <v>73.298823523809531</v>
      </c>
      <c r="G11" s="25" t="s">
        <v>34</v>
      </c>
      <c r="H11" s="25">
        <v>2022</v>
      </c>
      <c r="I11" s="25" t="s">
        <v>31</v>
      </c>
      <c r="J11" s="25">
        <v>166.4</v>
      </c>
      <c r="K11" s="25">
        <v>164.5</v>
      </c>
      <c r="L11" s="25">
        <v>164.7</v>
      </c>
      <c r="M11" s="25">
        <v>164.2</v>
      </c>
      <c r="N11" s="25">
        <v>171.4</v>
      </c>
      <c r="O11" s="25">
        <v>156.5</v>
      </c>
      <c r="P11" s="25">
        <v>165.75</v>
      </c>
      <c r="Q11" s="25">
        <v>161.19999999999999</v>
      </c>
      <c r="R11" s="25">
        <v>192.2</v>
      </c>
      <c r="S11" s="25">
        <v>161.89999999999998</v>
      </c>
    </row>
    <row r="12" spans="1:19" x14ac:dyDescent="0.45">
      <c r="A12" s="74">
        <v>2022</v>
      </c>
      <c r="B12" s="75">
        <v>33604</v>
      </c>
      <c r="C12" s="77">
        <v>84.666318799999985</v>
      </c>
      <c r="G12" s="25" t="s">
        <v>34</v>
      </c>
      <c r="H12" s="25">
        <v>2022</v>
      </c>
      <c r="I12" s="25" t="s">
        <v>35</v>
      </c>
      <c r="J12" s="25">
        <v>166.2</v>
      </c>
      <c r="K12" s="25">
        <v>165.5</v>
      </c>
      <c r="L12" s="25">
        <v>165.4</v>
      </c>
      <c r="M12" s="25">
        <v>165.7</v>
      </c>
      <c r="N12" s="25">
        <v>172.2</v>
      </c>
      <c r="O12" s="25">
        <v>156.9</v>
      </c>
      <c r="P12" s="25">
        <v>167</v>
      </c>
      <c r="Q12" s="25">
        <v>162.1</v>
      </c>
      <c r="R12" s="25">
        <v>192.8</v>
      </c>
      <c r="S12" s="25">
        <v>162.65</v>
      </c>
    </row>
    <row r="13" spans="1:19" x14ac:dyDescent="0.45">
      <c r="A13" s="74">
        <v>2022</v>
      </c>
      <c r="B13" s="75">
        <v>33635</v>
      </c>
      <c r="C13" s="77">
        <v>94.067715194444446</v>
      </c>
      <c r="G13" s="25" t="s">
        <v>34</v>
      </c>
      <c r="H13" s="25">
        <v>2022</v>
      </c>
      <c r="I13" s="25" t="s">
        <v>36</v>
      </c>
      <c r="J13" s="25">
        <v>168.4</v>
      </c>
      <c r="K13" s="25">
        <v>165.3</v>
      </c>
      <c r="L13" s="25">
        <v>166</v>
      </c>
      <c r="M13" s="25">
        <v>167.2</v>
      </c>
      <c r="N13" s="25">
        <v>173</v>
      </c>
      <c r="O13" s="25">
        <v>157.9</v>
      </c>
      <c r="P13" s="25">
        <v>169.14999999999998</v>
      </c>
      <c r="Q13" s="25">
        <v>163.30000000000001</v>
      </c>
      <c r="R13" s="25">
        <v>193.7</v>
      </c>
      <c r="S13" s="25">
        <v>163.69999999999999</v>
      </c>
    </row>
    <row r="14" spans="1:19" x14ac:dyDescent="0.45">
      <c r="A14" s="74">
        <v>2022</v>
      </c>
      <c r="B14" s="75">
        <v>33664</v>
      </c>
      <c r="C14" s="77">
        <v>112.87479254347826</v>
      </c>
      <c r="G14" s="25" t="s">
        <v>34</v>
      </c>
      <c r="H14" s="25">
        <v>2022</v>
      </c>
      <c r="I14" s="25" t="s">
        <v>37</v>
      </c>
      <c r="J14" s="25">
        <v>170.8</v>
      </c>
      <c r="K14" s="25">
        <v>167</v>
      </c>
      <c r="L14" s="25">
        <v>166.9</v>
      </c>
      <c r="M14" s="25">
        <v>172.2</v>
      </c>
      <c r="N14" s="25">
        <v>174</v>
      </c>
      <c r="O14" s="25">
        <v>162.6</v>
      </c>
      <c r="P14" s="25">
        <v>170.8</v>
      </c>
      <c r="Q14" s="25">
        <v>164.4</v>
      </c>
      <c r="R14" s="25">
        <v>193.9</v>
      </c>
      <c r="S14" s="25">
        <v>165.4</v>
      </c>
    </row>
    <row r="15" spans="1:19" x14ac:dyDescent="0.45">
      <c r="A15" s="74">
        <v>2022</v>
      </c>
      <c r="B15" s="75">
        <v>33329</v>
      </c>
      <c r="C15" s="77">
        <v>102.96599786842103</v>
      </c>
      <c r="G15" s="25" t="s">
        <v>34</v>
      </c>
      <c r="H15" s="25">
        <v>2022</v>
      </c>
      <c r="I15" s="25" t="s">
        <v>38</v>
      </c>
      <c r="J15" s="25">
        <v>173.3</v>
      </c>
      <c r="K15" s="25">
        <v>167.5</v>
      </c>
      <c r="L15" s="25">
        <v>167.9</v>
      </c>
      <c r="M15" s="25">
        <v>174.6</v>
      </c>
      <c r="N15" s="25">
        <v>174.8</v>
      </c>
      <c r="O15" s="25">
        <v>163</v>
      </c>
      <c r="P15" s="25">
        <v>171.5</v>
      </c>
      <c r="Q15" s="25">
        <v>165.1</v>
      </c>
      <c r="R15" s="25">
        <v>194.1</v>
      </c>
      <c r="S15" s="25">
        <v>166.35</v>
      </c>
    </row>
    <row r="16" spans="1:19" x14ac:dyDescent="0.45">
      <c r="A16" s="74">
        <v>2022</v>
      </c>
      <c r="B16" s="75">
        <v>33359</v>
      </c>
      <c r="C16" s="77">
        <v>109.50503773684208</v>
      </c>
      <c r="G16" s="25" t="s">
        <v>34</v>
      </c>
      <c r="H16" s="25">
        <v>2022</v>
      </c>
      <c r="I16" s="25" t="s">
        <v>39</v>
      </c>
      <c r="J16" s="25">
        <v>174.9</v>
      </c>
      <c r="K16" s="25">
        <v>166.8</v>
      </c>
      <c r="L16" s="25">
        <v>169</v>
      </c>
      <c r="M16" s="25">
        <v>176</v>
      </c>
      <c r="N16" s="25">
        <v>175.4</v>
      </c>
      <c r="O16" s="25">
        <v>161.1</v>
      </c>
      <c r="P16" s="25">
        <v>172.7</v>
      </c>
      <c r="Q16" s="25">
        <v>165.8</v>
      </c>
      <c r="R16" s="25">
        <v>194.3</v>
      </c>
      <c r="S16" s="25">
        <v>166.95</v>
      </c>
    </row>
    <row r="17" spans="1:19" x14ac:dyDescent="0.45">
      <c r="A17" s="74">
        <v>2022</v>
      </c>
      <c r="B17" s="75">
        <v>33390</v>
      </c>
      <c r="C17" s="77">
        <v>116.01138504999999</v>
      </c>
      <c r="G17" s="25" t="s">
        <v>34</v>
      </c>
      <c r="H17" s="25">
        <v>2022</v>
      </c>
      <c r="I17" s="25" t="s">
        <v>40</v>
      </c>
      <c r="J17" s="25">
        <v>175</v>
      </c>
      <c r="K17" s="25">
        <v>167.8</v>
      </c>
      <c r="L17" s="25">
        <v>171.4</v>
      </c>
      <c r="M17" s="25">
        <v>179.6</v>
      </c>
      <c r="N17" s="25">
        <v>176.1</v>
      </c>
      <c r="O17" s="25">
        <v>161.6</v>
      </c>
      <c r="P17" s="25">
        <v>173.5</v>
      </c>
      <c r="Q17" s="25">
        <v>166.3</v>
      </c>
      <c r="R17" s="25">
        <v>194.6</v>
      </c>
      <c r="S17" s="25">
        <v>167.9</v>
      </c>
    </row>
    <row r="18" spans="1:19" x14ac:dyDescent="0.45">
      <c r="A18" s="74">
        <v>2022</v>
      </c>
      <c r="B18" s="75">
        <v>33420</v>
      </c>
      <c r="C18" s="77">
        <v>105.49124737500001</v>
      </c>
      <c r="G18" s="25" t="s">
        <v>34</v>
      </c>
      <c r="H18" s="25">
        <v>2022</v>
      </c>
      <c r="I18" s="25" t="s">
        <v>41</v>
      </c>
      <c r="J18" s="25">
        <v>176.3</v>
      </c>
      <c r="K18" s="25">
        <v>169</v>
      </c>
      <c r="L18" s="25">
        <v>172.3</v>
      </c>
      <c r="M18" s="25">
        <v>178.8</v>
      </c>
      <c r="N18" s="25">
        <v>176.8</v>
      </c>
      <c r="O18" s="25">
        <v>161.9</v>
      </c>
      <c r="P18" s="25">
        <v>174.85</v>
      </c>
      <c r="Q18" s="25">
        <v>166.9</v>
      </c>
      <c r="R18" s="25">
        <v>195</v>
      </c>
      <c r="S18" s="25">
        <v>168.8</v>
      </c>
    </row>
    <row r="19" spans="1:19" x14ac:dyDescent="0.45">
      <c r="A19" s="74">
        <v>2022</v>
      </c>
      <c r="B19" s="75">
        <v>33451</v>
      </c>
      <c r="C19" s="77">
        <v>97.404465428571427</v>
      </c>
      <c r="G19" s="25" t="s">
        <v>34</v>
      </c>
      <c r="H19" s="25">
        <v>2022</v>
      </c>
      <c r="I19" s="25" t="s">
        <v>42</v>
      </c>
      <c r="J19" s="25">
        <v>177.8</v>
      </c>
      <c r="K19" s="25">
        <v>169.5</v>
      </c>
      <c r="L19" s="25">
        <v>173.1</v>
      </c>
      <c r="M19" s="25">
        <v>179.5</v>
      </c>
      <c r="N19" s="25">
        <v>177.8</v>
      </c>
      <c r="O19" s="25">
        <v>162.30000000000001</v>
      </c>
      <c r="P19" s="25">
        <v>175.4</v>
      </c>
      <c r="Q19" s="25">
        <v>167.6</v>
      </c>
      <c r="R19" s="25">
        <v>195.9</v>
      </c>
      <c r="S19" s="25">
        <v>169.6</v>
      </c>
    </row>
    <row r="20" spans="1:19" x14ac:dyDescent="0.45">
      <c r="A20" s="74">
        <v>2022</v>
      </c>
      <c r="B20" s="75">
        <v>33482</v>
      </c>
      <c r="C20" s="77">
        <v>90.706344809523813</v>
      </c>
      <c r="G20" s="25" t="s">
        <v>34</v>
      </c>
      <c r="H20" s="25">
        <v>2022</v>
      </c>
      <c r="I20" s="25" t="s">
        <v>43</v>
      </c>
      <c r="J20" s="25">
        <v>179.6</v>
      </c>
      <c r="K20" s="25">
        <v>171.2</v>
      </c>
      <c r="L20" s="25">
        <v>173.4</v>
      </c>
      <c r="M20" s="25">
        <v>180.5</v>
      </c>
      <c r="N20" s="25">
        <v>178.7</v>
      </c>
      <c r="O20" s="25">
        <v>162.9</v>
      </c>
      <c r="P20" s="25">
        <v>176.55</v>
      </c>
      <c r="Q20" s="25">
        <v>168.2</v>
      </c>
      <c r="R20" s="25">
        <v>196.3</v>
      </c>
      <c r="S20" s="25">
        <v>170.45</v>
      </c>
    </row>
    <row r="21" spans="1:19" x14ac:dyDescent="0.45">
      <c r="A21" s="74">
        <v>2022</v>
      </c>
      <c r="B21" s="75">
        <v>33512</v>
      </c>
      <c r="C21" s="77">
        <v>91.698948700000003</v>
      </c>
      <c r="G21" s="25" t="s">
        <v>34</v>
      </c>
      <c r="H21" s="25">
        <v>2022</v>
      </c>
      <c r="I21" s="25" t="s">
        <v>45</v>
      </c>
      <c r="J21" s="25">
        <v>178.3</v>
      </c>
      <c r="K21" s="25">
        <v>171.8</v>
      </c>
      <c r="L21" s="25">
        <v>173.7</v>
      </c>
      <c r="M21" s="25">
        <v>181.3</v>
      </c>
      <c r="N21" s="25">
        <v>179.8</v>
      </c>
      <c r="O21" s="25">
        <v>163</v>
      </c>
      <c r="P21" s="25">
        <v>177.85</v>
      </c>
      <c r="Q21" s="25">
        <v>168.5</v>
      </c>
      <c r="R21" s="25">
        <v>196.9</v>
      </c>
      <c r="S21" s="25">
        <v>171.25</v>
      </c>
    </row>
    <row r="22" spans="1:19" x14ac:dyDescent="0.45">
      <c r="A22" s="74">
        <v>2022</v>
      </c>
      <c r="B22" s="75">
        <v>33543</v>
      </c>
      <c r="C22" s="77">
        <v>87.552266068181822</v>
      </c>
      <c r="G22" s="25" t="s">
        <v>34</v>
      </c>
      <c r="H22" s="25">
        <v>2022</v>
      </c>
      <c r="I22" s="25" t="s">
        <v>46</v>
      </c>
      <c r="J22" s="25">
        <v>175.9</v>
      </c>
      <c r="K22" s="25">
        <v>170.7</v>
      </c>
      <c r="L22" s="25">
        <v>174.1</v>
      </c>
      <c r="M22" s="25">
        <v>182</v>
      </c>
      <c r="N22" s="25">
        <v>181.1</v>
      </c>
      <c r="O22" s="25">
        <v>163.4</v>
      </c>
      <c r="P22" s="25">
        <v>179.4</v>
      </c>
      <c r="Q22" s="25">
        <v>168.9</v>
      </c>
      <c r="R22" s="25">
        <v>197.3</v>
      </c>
      <c r="S22" s="25">
        <v>172.05</v>
      </c>
    </row>
    <row r="23" spans="1:19" x14ac:dyDescent="0.45">
      <c r="A23" s="74">
        <v>2022</v>
      </c>
      <c r="B23" s="75">
        <v>33573</v>
      </c>
      <c r="C23" s="77">
        <v>78.100942275000008</v>
      </c>
      <c r="G23" s="25" t="s">
        <v>34</v>
      </c>
      <c r="H23" s="25">
        <v>2023</v>
      </c>
      <c r="I23" s="25" t="s">
        <v>31</v>
      </c>
      <c r="J23" s="25">
        <v>176.7</v>
      </c>
      <c r="K23" s="25">
        <v>172.1</v>
      </c>
      <c r="L23" s="25">
        <v>174.3</v>
      </c>
      <c r="M23" s="25">
        <v>182</v>
      </c>
      <c r="N23" s="25">
        <v>182.3</v>
      </c>
      <c r="O23" s="25">
        <v>163.6</v>
      </c>
      <c r="P23" s="25">
        <v>181.2</v>
      </c>
      <c r="Q23" s="25">
        <v>169.5</v>
      </c>
      <c r="R23" s="25">
        <v>198.2</v>
      </c>
      <c r="S23" s="25">
        <v>172.85000000000002</v>
      </c>
    </row>
    <row r="24" spans="1:19" x14ac:dyDescent="0.45">
      <c r="A24" s="74">
        <v>2023</v>
      </c>
      <c r="B24" s="75">
        <v>33604</v>
      </c>
      <c r="C24" s="77">
        <v>80.922269684210534</v>
      </c>
      <c r="G24" s="25" t="s">
        <v>34</v>
      </c>
      <c r="H24" s="25">
        <v>2023</v>
      </c>
      <c r="I24" s="25" t="s">
        <v>35</v>
      </c>
      <c r="J24" s="25">
        <v>177</v>
      </c>
      <c r="K24" s="25">
        <v>173.5</v>
      </c>
      <c r="L24" s="25">
        <v>175</v>
      </c>
      <c r="M24" s="25">
        <v>182.1</v>
      </c>
      <c r="N24" s="25">
        <v>184.4</v>
      </c>
      <c r="O24" s="25">
        <v>164.2</v>
      </c>
      <c r="P24" s="25">
        <v>183.05</v>
      </c>
      <c r="Q24" s="25">
        <v>170.3</v>
      </c>
      <c r="R24" s="25">
        <v>199.5</v>
      </c>
      <c r="S24" s="25">
        <v>174.14999999999998</v>
      </c>
    </row>
    <row r="25" spans="1:19" x14ac:dyDescent="0.45">
      <c r="A25" s="74">
        <v>2023</v>
      </c>
      <c r="B25" s="75">
        <v>33635</v>
      </c>
      <c r="C25" s="77">
        <v>82.278706675000009</v>
      </c>
      <c r="G25" s="25" t="s">
        <v>34</v>
      </c>
      <c r="H25" s="25">
        <v>2023</v>
      </c>
      <c r="I25" s="25" t="s">
        <v>36</v>
      </c>
      <c r="J25" s="25">
        <v>177</v>
      </c>
      <c r="K25" s="25">
        <v>173.5</v>
      </c>
      <c r="L25" s="25">
        <v>175</v>
      </c>
      <c r="M25" s="25">
        <v>181.9</v>
      </c>
      <c r="N25" s="25">
        <v>184.4</v>
      </c>
      <c r="O25" s="25">
        <v>164.2</v>
      </c>
      <c r="P25" s="25">
        <v>183.05</v>
      </c>
      <c r="Q25" s="25">
        <v>170.3</v>
      </c>
      <c r="R25" s="25">
        <v>199.5</v>
      </c>
      <c r="S25" s="25">
        <v>174.14999999999998</v>
      </c>
    </row>
    <row r="26" spans="1:19" x14ac:dyDescent="0.45">
      <c r="A26" s="74">
        <v>2023</v>
      </c>
      <c r="B26" s="75">
        <v>33664</v>
      </c>
      <c r="C26" s="77">
        <v>78.539480282608693</v>
      </c>
    </row>
    <row r="31" spans="1:19" x14ac:dyDescent="0.45">
      <c r="D31" s="19" t="s">
        <v>195</v>
      </c>
    </row>
    <row r="32" spans="1:19" x14ac:dyDescent="0.45">
      <c r="A32" s="65" t="s">
        <v>191</v>
      </c>
      <c r="B32" s="65" t="s">
        <v>192</v>
      </c>
      <c r="D32" t="s">
        <v>196</v>
      </c>
    </row>
    <row r="33" spans="1:9" x14ac:dyDescent="0.45">
      <c r="A33" s="66" t="s">
        <v>49</v>
      </c>
      <c r="B33" s="67">
        <f>CORREL($C$3:$C$26,J$2:J$25)</f>
        <v>0.51351447939118178</v>
      </c>
      <c r="D33" t="s">
        <v>198</v>
      </c>
    </row>
    <row r="34" spans="1:9" x14ac:dyDescent="0.45">
      <c r="A34" s="66" t="s">
        <v>20</v>
      </c>
      <c r="B34" s="67">
        <f>CORREL(C3:C26,K2:K25)</f>
        <v>0.36052598143501063</v>
      </c>
      <c r="D34" s="78" t="s">
        <v>197</v>
      </c>
    </row>
    <row r="35" spans="1:9" x14ac:dyDescent="0.45">
      <c r="A35" s="66" t="s">
        <v>26</v>
      </c>
      <c r="B35" s="67">
        <f>CORREL(C3:C26,L2:L25)</f>
        <v>0.36292640574537133</v>
      </c>
    </row>
    <row r="36" spans="1:9" x14ac:dyDescent="0.45">
      <c r="A36" s="66" t="s">
        <v>50</v>
      </c>
      <c r="B36" s="67">
        <f>CORREL(C3:C26,M2:M25)</f>
        <v>0.4717530159851806</v>
      </c>
    </row>
    <row r="37" spans="1:9" x14ac:dyDescent="0.45">
      <c r="A37" s="66" t="s">
        <v>23</v>
      </c>
      <c r="B37" s="67">
        <f>CORREL(C3:C26,N2:N25)</f>
        <v>0.38137546525119653</v>
      </c>
    </row>
    <row r="38" spans="1:9" ht="28.5" x14ac:dyDescent="0.45">
      <c r="A38" s="68" t="s">
        <v>55</v>
      </c>
      <c r="B38" s="69">
        <f>CORREL(C3:C26,O2:O25)</f>
        <v>0.59690542405530278</v>
      </c>
    </row>
    <row r="39" spans="1:9" ht="28.5" x14ac:dyDescent="0.45">
      <c r="A39" s="70" t="s">
        <v>110</v>
      </c>
      <c r="B39" s="67">
        <f>CORREL(C3:C26,P2:P25)</f>
        <v>0.41419100333732561</v>
      </c>
    </row>
    <row r="40" spans="1:9" x14ac:dyDescent="0.45">
      <c r="A40" s="66" t="s">
        <v>52</v>
      </c>
      <c r="B40" s="67">
        <f>CORREL(C3:C26,Q2:Q25)</f>
        <v>0.51594936198022145</v>
      </c>
    </row>
    <row r="41" spans="1:9" x14ac:dyDescent="0.45">
      <c r="A41" s="66" t="s">
        <v>53</v>
      </c>
      <c r="B41" s="67">
        <f>CORREL(C3:C26,R2:R25)</f>
        <v>0.27363815258058527</v>
      </c>
    </row>
    <row r="42" spans="1:9" ht="28.5" x14ac:dyDescent="0.45">
      <c r="A42" s="70" t="s">
        <v>54</v>
      </c>
      <c r="B42" s="67">
        <f>CORREL(C3:C26,S2:S25)</f>
        <v>0.44079772525372563</v>
      </c>
    </row>
    <row r="45" spans="1:9" x14ac:dyDescent="0.45">
      <c r="A45" s="99" t="s">
        <v>193</v>
      </c>
      <c r="B45" s="99"/>
      <c r="C45" s="99"/>
      <c r="D45" s="99"/>
      <c r="E45" s="99"/>
      <c r="F45" s="99"/>
      <c r="I45" s="11"/>
    </row>
    <row r="46" spans="1:9" ht="28.5" customHeight="1" x14ac:dyDescent="0.45">
      <c r="A46" s="97" t="s">
        <v>194</v>
      </c>
      <c r="B46" s="97"/>
      <c r="C46" s="97"/>
      <c r="D46" s="97"/>
    </row>
    <row r="47" spans="1:9" x14ac:dyDescent="0.45">
      <c r="A47" s="96"/>
      <c r="B47" s="96"/>
    </row>
  </sheetData>
  <mergeCells count="4">
    <mergeCell ref="A47:B47"/>
    <mergeCell ref="A46:D46"/>
    <mergeCell ref="A1:C1"/>
    <mergeCell ref="A45:F45"/>
  </mergeCells>
  <conditionalFormatting sqref="A33:A42">
    <cfRule type="cellIs" dxfId="2" priority="2" operator="equal">
      <formula>"NA"</formula>
    </cfRule>
  </conditionalFormatting>
  <conditionalFormatting sqref="A46:A47">
    <cfRule type="cellIs" dxfId="1" priority="1" operator="equal">
      <formula>"NA"</formula>
    </cfRule>
  </conditionalFormatting>
  <conditionalFormatting sqref="J1:S1">
    <cfRule type="cellIs" dxfId="0" priority="4" operator="equal">
      <formula>"NA"</formula>
    </cfRule>
  </conditionalFormatting>
  <hyperlinks>
    <hyperlink ref="D34" r:id="rId1" xr:uid="{EDADBC01-A0E5-43C7-ACA4-45FAFFB19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data</vt:lpstr>
      <vt:lpstr>Data cleaning &amp;Processing steps</vt:lpstr>
      <vt:lpstr>Processed data</vt:lpstr>
      <vt:lpstr>Highest Contribution Catgeory</vt:lpstr>
      <vt:lpstr>Y-O-Y Inflation rate</vt:lpstr>
      <vt:lpstr>Food Inflation (a)</vt:lpstr>
      <vt:lpstr>Food Inflation (b)</vt:lpstr>
      <vt:lpstr>Covid Impact Urban</vt:lpstr>
      <vt:lpstr>Covid impact Rural</vt:lpstr>
      <vt:lpstr>Covid impact- Rural+Urban</vt:lpstr>
      <vt:lpstr>Crude oil prices data</vt:lpstr>
      <vt:lpstr>Oil price impact on inflation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Pawandeep Singh</cp:lastModifiedBy>
  <dcterms:created xsi:type="dcterms:W3CDTF">2025-08-28T11:17:05Z</dcterms:created>
  <dcterms:modified xsi:type="dcterms:W3CDTF">2026-02-24T17:08:30Z</dcterms:modified>
</cp:coreProperties>
</file>